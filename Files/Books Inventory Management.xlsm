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Lenovo\OneDrive\Documents\Data Hamzah\Kerja\Master Data\Portofolio Project\Excel\Books Inventory Management\"/>
    </mc:Choice>
  </mc:AlternateContent>
  <xr:revisionPtr revIDLastSave="0" documentId="13_ncr:1_{34EBD401-BEB8-4872-A334-92F2790B06B4}" xr6:coauthVersionLast="47" xr6:coauthVersionMax="47" xr10:uidLastSave="{00000000-0000-0000-0000-000000000000}"/>
  <bookViews>
    <workbookView xWindow="-120" yWindow="-120" windowWidth="20730" windowHeight="11310" tabRatio="730" xr2:uid="{D6F40422-C4A9-7C44-A844-FD97086FBBD7}"/>
  </bookViews>
  <sheets>
    <sheet name="Inventory" sheetId="4" r:id="rId1"/>
    <sheet name="Vendor Info" sheetId="5" r:id="rId2"/>
    <sheet name="Order Summary" sheetId="6" r:id="rId3"/>
    <sheet name="Pivot Table" sheetId="10" r:id="rId4"/>
    <sheet name="Dashboard" sheetId="7" r:id="rId5"/>
  </sheets>
  <definedNames>
    <definedName name="_xlcn.WorksheetConnection_BooksInventoryManagement.xlsxInventory1" hidden="1">Inventory[]</definedName>
    <definedName name="_xlcn.WorksheetConnection_BooksInventoryManagement.xlsxVendor1" hidden="1">Vendor[]</definedName>
    <definedName name="Slicer_Reorder?">#N/A</definedName>
  </definedNames>
  <calcPr calcId="191029"/>
  <pivotCaches>
    <pivotCache cacheId="91" r:id="rId6"/>
    <pivotCache cacheId="96"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endor" name="Vendor" connection="WorksheetConnection_Books Inventory Management.xlsx!Vendor"/>
          <x15:modelTable id="Inventory" name="Inventory" connection="WorksheetConnection_Books Inventory Management.xlsx!Inventory"/>
        </x15:modelTables>
        <x15:modelRelationships>
          <x15:modelRelationship fromTable="Vendor" fromColumn="ID" toTable="Inventory" toColumn="Product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4" l="1"/>
  <c r="G8" i="4"/>
  <c r="G11" i="4"/>
  <c r="H11" i="4" s="1"/>
  <c r="G14" i="4"/>
  <c r="H14" i="4" s="1"/>
  <c r="G15" i="4"/>
  <c r="H15" i="4" s="1"/>
  <c r="G19" i="4"/>
  <c r="H19" i="4" s="1"/>
  <c r="G18" i="4"/>
  <c r="H18" i="4" s="1"/>
  <c r="G10" i="4"/>
  <c r="H10" i="4" s="1"/>
  <c r="G9" i="4"/>
  <c r="H9" i="4" s="1"/>
  <c r="G12" i="4"/>
  <c r="H12" i="4" s="1"/>
  <c r="G13" i="4"/>
  <c r="H13" i="4" s="1"/>
  <c r="G16" i="4"/>
  <c r="H16" i="4" s="1"/>
  <c r="G17" i="4"/>
  <c r="H17" i="4" s="1"/>
  <c r="G20" i="4"/>
  <c r="H20" i="4" s="1"/>
  <c r="G21" i="4"/>
  <c r="H21" i="4" s="1"/>
  <c r="J21" i="4" l="1"/>
  <c r="L21" i="4" s="1"/>
  <c r="J16" i="4"/>
  <c r="L16" i="4" s="1"/>
  <c r="G4" i="4"/>
  <c r="J8" i="4"/>
  <c r="J9" i="4"/>
  <c r="J10" i="4"/>
  <c r="L10" i="4" s="1"/>
  <c r="J11" i="4"/>
  <c r="J12" i="4"/>
  <c r="J13" i="4"/>
  <c r="J14" i="4"/>
  <c r="J15" i="4"/>
  <c r="J17" i="4"/>
  <c r="L17" i="4" s="1"/>
  <c r="J18" i="4"/>
  <c r="L18" i="4" s="1"/>
  <c r="J19" i="4"/>
  <c r="L19" i="4" s="1"/>
  <c r="J20" i="4"/>
  <c r="D5" i="4"/>
  <c r="C6" i="5"/>
  <c r="H8" i="4"/>
  <c r="C7" i="5" l="1"/>
  <c r="C8" i="5" s="1"/>
  <c r="C9" i="5" s="1"/>
  <c r="C10" i="5" s="1"/>
  <c r="C11" i="5" s="1"/>
  <c r="C12" i="5" s="1"/>
  <c r="C13" i="5" s="1"/>
  <c r="C14" i="5" s="1"/>
  <c r="C15" i="5" s="1"/>
  <c r="C16" i="5" s="1"/>
  <c r="C17" i="5" s="1"/>
  <c r="C18" i="5" s="1"/>
  <c r="C19" i="5" s="1"/>
  <c r="C20" i="5" s="1"/>
  <c r="C21" i="5" s="1"/>
  <c r="C22" i="5" s="1"/>
  <c r="C23" i="5" s="1"/>
  <c r="C24" i="5" s="1"/>
  <c r="D9" i="4"/>
  <c r="D13" i="4"/>
  <c r="D17" i="4"/>
  <c r="D21" i="4"/>
  <c r="D10" i="4"/>
  <c r="D14" i="4"/>
  <c r="D18" i="4"/>
  <c r="D11" i="4"/>
  <c r="D15" i="4"/>
  <c r="D19" i="4"/>
  <c r="D16" i="4"/>
  <c r="D20" i="4"/>
  <c r="D12" i="4"/>
  <c r="K9" i="4"/>
  <c r="K8" i="4"/>
  <c r="G5" i="4"/>
  <c r="L8" i="4"/>
  <c r="C7" i="6" a="1"/>
  <c r="K20" i="4"/>
  <c r="K11" i="4"/>
  <c r="K13" i="4"/>
  <c r="K12" i="4"/>
  <c r="K15" i="4"/>
  <c r="K14" i="4"/>
  <c r="L15" i="4"/>
  <c r="L11" i="4"/>
  <c r="L14" i="4"/>
  <c r="L13" i="4"/>
  <c r="L9" i="4"/>
  <c r="L20" i="4"/>
  <c r="L12" i="4"/>
  <c r="D4" i="4"/>
  <c r="K21" i="4"/>
  <c r="K19" i="4"/>
  <c r="K17" i="4"/>
  <c r="K16" i="4"/>
  <c r="K10" i="4"/>
  <c r="K18" i="4"/>
  <c r="D17" i="6" l="1"/>
  <c r="H17" i="6"/>
  <c r="F18" i="6"/>
  <c r="E19" i="6"/>
  <c r="G19" i="6" s="1"/>
  <c r="I19" i="6"/>
  <c r="H20" i="6"/>
  <c r="E17" i="6"/>
  <c r="G17" i="6" s="1"/>
  <c r="I17" i="6"/>
  <c r="H18" i="6"/>
  <c r="F19" i="6"/>
  <c r="D20" i="6"/>
  <c r="I20" i="6"/>
  <c r="F17" i="6"/>
  <c r="D18" i="6"/>
  <c r="I18" i="6"/>
  <c r="E20" i="6"/>
  <c r="G20" i="6" s="1"/>
  <c r="E18" i="6"/>
  <c r="G18" i="6" s="1"/>
  <c r="D19" i="6"/>
  <c r="H19" i="6"/>
  <c r="F20" i="6"/>
  <c r="D15" i="6"/>
  <c r="H15" i="6"/>
  <c r="D14" i="6"/>
  <c r="I16" i="6"/>
  <c r="I15" i="6"/>
  <c r="F14" i="6"/>
  <c r="E14" i="6"/>
  <c r="G14" i="6" s="1"/>
  <c r="E16" i="6"/>
  <c r="G16" i="6" s="1"/>
  <c r="E15" i="6"/>
  <c r="G15" i="6" s="1"/>
  <c r="H14" i="6"/>
  <c r="D16" i="6"/>
  <c r="F16" i="6"/>
  <c r="F15" i="6"/>
  <c r="I14" i="6"/>
  <c r="H16" i="6"/>
  <c r="C7" i="6"/>
  <c r="H7" i="6" s="1"/>
  <c r="I10" i="6"/>
  <c r="H12" i="6"/>
  <c r="F11" i="6"/>
  <c r="E12" i="6"/>
  <c r="G12" i="6" s="1"/>
  <c r="D13" i="6"/>
  <c r="I11" i="6"/>
  <c r="H13" i="6"/>
  <c r="F12" i="6"/>
  <c r="E13" i="6"/>
  <c r="G13" i="6" s="1"/>
  <c r="D10" i="6"/>
  <c r="I12" i="6"/>
  <c r="H10" i="6"/>
  <c r="F13" i="6"/>
  <c r="E10" i="6"/>
  <c r="G10" i="6" s="1"/>
  <c r="D11" i="6"/>
  <c r="I13" i="6"/>
  <c r="H11" i="6"/>
  <c r="F10" i="6"/>
  <c r="E11" i="6"/>
  <c r="G11" i="6" s="1"/>
  <c r="D12" i="6"/>
  <c r="I9" i="6"/>
  <c r="H9" i="6"/>
  <c r="I8" i="6"/>
  <c r="F9" i="6"/>
  <c r="H8" i="6"/>
  <c r="D8" i="6"/>
  <c r="E9" i="6"/>
  <c r="G9" i="6" s="1"/>
  <c r="F8" i="6"/>
  <c r="D9" i="6"/>
  <c r="E8" i="6"/>
  <c r="G8" i="6" s="1"/>
  <c r="F7" i="6" l="1"/>
  <c r="D7" i="6"/>
  <c r="I7" i="6"/>
  <c r="E7" i="6"/>
  <c r="G7" i="6" s="1"/>
  <c r="D4"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17CBBF-23A7-4A3C-AB49-EE9BD1224DD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B0B1EE2E-5C7B-4B8F-A7C1-AC38E31C9B2F}" name="WorksheetConnection_Books Inventory Management.xlsx!Inventory" type="102" refreshedVersion="8" minRefreshableVersion="5">
    <extLst>
      <ext xmlns:x15="http://schemas.microsoft.com/office/spreadsheetml/2010/11/main" uri="{DE250136-89BD-433C-8126-D09CA5730AF9}">
        <x15:connection id="Inventory">
          <x15:rangePr sourceName="_xlcn.WorksheetConnection_BooksInventoryManagement.xlsxInventory1"/>
        </x15:connection>
      </ext>
    </extLst>
  </connection>
  <connection id="3" xr16:uid="{009A4DC9-8038-4143-BE3A-5AF927194BD1}" name="WorksheetConnection_Books Inventory Management.xlsx!Vendor" type="102" refreshedVersion="8" minRefreshableVersion="5">
    <extLst>
      <ext xmlns:x15="http://schemas.microsoft.com/office/spreadsheetml/2010/11/main" uri="{DE250136-89BD-433C-8126-D09CA5730AF9}">
        <x15:connection id="Vendor">
          <x15:rangePr sourceName="_xlcn.WorksheetConnection_BooksInventoryManagement.xlsxVendor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<sst xmlns="http://schemas.openxmlformats.org/spreadsheetml/2006/main" count="200" uniqueCount="99">
  <si>
    <t>Description</t>
  </si>
  <si>
    <t>Reorder?</t>
  </si>
  <si>
    <t>Vendor</t>
  </si>
  <si>
    <t>Contact</t>
  </si>
  <si>
    <t>Website</t>
  </si>
  <si>
    <t>Contact Name</t>
  </si>
  <si>
    <t>Email Address</t>
  </si>
  <si>
    <t>Vendor &amp; Product Information</t>
  </si>
  <si>
    <t>Inventory Management System</t>
  </si>
  <si>
    <t>Current Date</t>
  </si>
  <si>
    <t>Day of Week</t>
  </si>
  <si>
    <t>Quantity</t>
  </si>
  <si>
    <t>Total Cost</t>
  </si>
  <si>
    <t>Total Order</t>
  </si>
  <si>
    <t>Daily Order Summary</t>
  </si>
  <si>
    <t>Product ID</t>
  </si>
  <si>
    <t>Product</t>
  </si>
  <si>
    <t>Typical 
Order Time</t>
  </si>
  <si>
    <t>Josh Smith</t>
  </si>
  <si>
    <t>Mike Dean</t>
  </si>
  <si>
    <t>Mikel Artena</t>
  </si>
  <si>
    <t>Sam Allargine</t>
  </si>
  <si>
    <t>Arya Janne</t>
  </si>
  <si>
    <t>Miriam Adelson</t>
  </si>
  <si>
    <t>Ken Griffin</t>
  </si>
  <si>
    <t>Jeff Yass</t>
  </si>
  <si>
    <t>Jim Simons</t>
  </si>
  <si>
    <t>Link</t>
  </si>
  <si>
    <t>Total Value</t>
  </si>
  <si>
    <t>Quantity in 
Stock</t>
  </si>
  <si>
    <t>Reorder
Threshold</t>
  </si>
  <si>
    <t>Unique Products</t>
  </si>
  <si>
    <t>Inventory Value</t>
  </si>
  <si>
    <t>ETA</t>
  </si>
  <si>
    <t>Sale Price 
per Unit</t>
  </si>
  <si>
    <t>Email</t>
  </si>
  <si>
    <t>ID</t>
  </si>
  <si>
    <t>Fading Light</t>
  </si>
  <si>
    <t>Silent Echo</t>
  </si>
  <si>
    <t>Iron Sky</t>
  </si>
  <si>
    <t>Wanderlust</t>
  </si>
  <si>
    <t>Lost Horizon</t>
  </si>
  <si>
    <t>Silver Veil</t>
  </si>
  <si>
    <t>The Win</t>
  </si>
  <si>
    <t>The Hollow</t>
  </si>
  <si>
    <t>Broker</t>
  </si>
  <si>
    <t>Frostfire</t>
  </si>
  <si>
    <t>The Tide</t>
  </si>
  <si>
    <t>Crimson</t>
  </si>
  <si>
    <t>Shattered</t>
  </si>
  <si>
    <t>Voidwalker</t>
  </si>
  <si>
    <t>Hidden Path</t>
  </si>
  <si>
    <t>Blackthron</t>
  </si>
  <si>
    <t>Echofall</t>
  </si>
  <si>
    <t>The Nexus</t>
  </si>
  <si>
    <t>Moonshade</t>
  </si>
  <si>
    <t>Shadowfall</t>
  </si>
  <si>
    <t>Thriller</t>
  </si>
  <si>
    <t>Mystery</t>
  </si>
  <si>
    <t>Sci-Fi</t>
  </si>
  <si>
    <t>Travel</t>
  </si>
  <si>
    <t>Fantasy</t>
  </si>
  <si>
    <t>History</t>
  </si>
  <si>
    <t>Horror</t>
  </si>
  <si>
    <t>Drama</t>
  </si>
  <si>
    <t>Dystopian</t>
  </si>
  <si>
    <t>Action</t>
  </si>
  <si>
    <t>Romance</t>
  </si>
  <si>
    <t>Urban</t>
  </si>
  <si>
    <t>Starlight Publishing</t>
  </si>
  <si>
    <t>Ironclad Books</t>
  </si>
  <si>
    <t>EchoBay Press</t>
  </si>
  <si>
    <t>Silverleaf Editions</t>
  </si>
  <si>
    <t>Moonlit House</t>
  </si>
  <si>
    <t>Phoenix Publishers</t>
  </si>
  <si>
    <t>Shadow Media</t>
  </si>
  <si>
    <t>Nexus Literary</t>
  </si>
  <si>
    <t>Veilbound House</t>
  </si>
  <si>
    <t>Shattered Sky</t>
  </si>
  <si>
    <t>josh.smith@gmail.com</t>
  </si>
  <si>
    <t>mike.dean@gmail.com</t>
  </si>
  <si>
    <t>mikel.artena@gmail.com</t>
  </si>
  <si>
    <t>sam.allargine@gmail.com</t>
  </si>
  <si>
    <t>arya.janne@gmail.com</t>
  </si>
  <si>
    <t>miriam.adelson@gmail.com</t>
  </si>
  <si>
    <t>ken.griffin@gmail.com</t>
  </si>
  <si>
    <t>jim.simons@gmail.com</t>
  </si>
  <si>
    <t>jeff.yass@gmail.com</t>
  </si>
  <si>
    <t>Reorder</t>
  </si>
  <si>
    <t>Cost per Unit</t>
  </si>
  <si>
    <t>Notes</t>
  </si>
  <si>
    <t>Column Labels</t>
  </si>
  <si>
    <t>Grand Total</t>
  </si>
  <si>
    <t>Row Labels</t>
  </si>
  <si>
    <t>Sum of Total Value</t>
  </si>
  <si>
    <t>Sum of Quantity in 
Stock</t>
  </si>
  <si>
    <t>Sum of Total Cost</t>
  </si>
  <si>
    <t>Restock Needed</t>
  </si>
  <si>
    <t>Stock is Safe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</si>
</sst>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6" formatCode="&quot;Rp&quot;#,##0;[Red]\-&quot;Rp&quot;#,##0"/>
    <numFmt numFmtId="8" formatCode="&quot;Rp&quot;#,##0.00;[Red]\-&quot;Rp&quot;#,##0.00"/>
    <numFmt numFmtId="164" formatCode="d/m/yyyy"/>
    <numFmt numFmtId="165" formatCode="#"/>
    <numFmt numFmtId="166" formatCode="&quot;Rp&quot;#,##0"/>
    <numFmt numFmtId="167" formatCode="[$$-409]#,##0.00_ ;[Red]\-[$$-409]#,##0.00\ "/>
    <numFmt numFmtId="168" formatCode="&quot;Rp&quot;#,##0.00"/>
  </numFmts>
  <fonts count="7" x14ac:knownFonts="1">
    <font>
      <sz val="12"/>
      <color theme="1"/>
      <name val="Aptos Narrow"/>
      <family val="2"/>
      <scheme val="minor"/>
    </font>
    <font>
      <b/>
      <sz val="12"/>
      <color theme="1"/>
      <name val="Aptos Narrow"/>
      <scheme val="minor"/>
    </font>
    <font>
      <b/>
      <sz val="12"/>
      <color theme="0"/>
      <name val="Aptos Narrow"/>
      <scheme val="minor"/>
    </font>
    <font>
      <u/>
      <sz val="12"/>
      <color theme="10"/>
      <name val="Aptos Narrow"/>
      <family val="2"/>
      <scheme val="minor"/>
    </font>
    <font>
      <b/>
      <sz val="12"/>
      <color theme="0"/>
      <name val="Aptos Narrow"/>
      <family val="2"/>
      <scheme val="minor"/>
    </font>
    <font>
      <b/>
      <sz val="16"/>
      <color rgb="FF073673"/>
      <name val="Aptos Narrow"/>
      <family val="2"/>
      <scheme val="minor"/>
    </font>
    <font>
      <b/>
      <sz val="12"/>
      <color theme="1"/>
      <name val="Aptos Narrow"/>
      <family val="2"/>
      <scheme val="minor"/>
    </font>
  </fonts>
  <fills count="5">
    <fill>
      <patternFill patternType="none"/>
    </fill>
    <fill>
      <patternFill patternType="gray125"/>
    </fill>
    <fill>
      <patternFill patternType="solid">
        <fgColor rgb="FFFFFF99"/>
        <bgColor indexed="64"/>
      </patternFill>
    </fill>
    <fill>
      <patternFill patternType="solid">
        <fgColor rgb="FF073673"/>
        <bgColor indexed="64"/>
      </patternFill>
    </fill>
    <fill>
      <patternFill patternType="solid">
        <fgColor theme="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3">
    <xf numFmtId="0" fontId="0" fillId="0" borderId="0" xfId="0"/>
    <xf numFmtId="0" fontId="0" fillId="0" borderId="1" xfId="0" applyBorder="1"/>
    <xf numFmtId="0" fontId="0" fillId="0" borderId="0" xfId="0" applyAlignment="1">
      <alignment horizontal="center"/>
    </xf>
    <xf numFmtId="4" fontId="0" fillId="0" borderId="0" xfId="0" applyNumberFormat="1" applyAlignment="1">
      <alignment horizontal="center"/>
    </xf>
    <xf numFmtId="3" fontId="1" fillId="2" borderId="2" xfId="0" applyNumberFormat="1" applyFont="1" applyFill="1" applyBorder="1" applyAlignment="1">
      <alignment horizontal="center"/>
    </xf>
    <xf numFmtId="164" fontId="1" fillId="2" borderId="2" xfId="0" applyNumberFormat="1" applyFont="1" applyFill="1" applyBorder="1" applyAlignment="1">
      <alignment horizontal="center"/>
    </xf>
    <xf numFmtId="0" fontId="2" fillId="3" borderId="0" xfId="0" applyFont="1" applyFill="1" applyAlignment="1">
      <alignment horizontal="center"/>
    </xf>
    <xf numFmtId="0" fontId="4" fillId="3" borderId="0" xfId="0" applyFont="1" applyFill="1" applyAlignment="1">
      <alignment horizontal="center" vertical="center"/>
    </xf>
    <xf numFmtId="0" fontId="4" fillId="3" borderId="0" xfId="0" applyFont="1" applyFill="1" applyAlignment="1">
      <alignment horizontal="center" vertical="center" wrapText="1"/>
    </xf>
    <xf numFmtId="0" fontId="3" fillId="0" borderId="0" xfId="1" applyFill="1" applyBorder="1" applyAlignment="1">
      <alignment horizontal="center"/>
    </xf>
    <xf numFmtId="0" fontId="3" fillId="0" borderId="0" xfId="1" applyFill="1" applyBorder="1"/>
    <xf numFmtId="165" fontId="0" fillId="0" borderId="0" xfId="0" applyNumberFormat="1" applyAlignment="1">
      <alignment horizontal="center"/>
    </xf>
    <xf numFmtId="2" fontId="0" fillId="0" borderId="0" xfId="0" applyNumberFormat="1"/>
    <xf numFmtId="14" fontId="0" fillId="0" borderId="0" xfId="0" applyNumberFormat="1" applyAlignment="1">
      <alignment horizontal="center"/>
    </xf>
    <xf numFmtId="0" fontId="5" fillId="0" borderId="1" xfId="0" applyFont="1" applyBorder="1"/>
    <xf numFmtId="0" fontId="0" fillId="4" borderId="0" xfId="0" applyFill="1"/>
    <xf numFmtId="0" fontId="0" fillId="0" borderId="0" xfId="0" applyAlignment="1">
      <alignment horizontal="left"/>
    </xf>
    <xf numFmtId="0" fontId="0" fillId="0" borderId="0" xfId="0" pivotButton="1"/>
    <xf numFmtId="0" fontId="6" fillId="0" borderId="0" xfId="0" applyFont="1"/>
    <xf numFmtId="0" fontId="0" fillId="0" borderId="0" xfId="0" applyAlignment="1">
      <alignment horizontal="center" vertical="center"/>
    </xf>
    <xf numFmtId="0" fontId="4" fillId="3" borderId="3" xfId="0" applyFont="1" applyFill="1" applyBorder="1" applyAlignment="1">
      <alignment horizontal="center"/>
    </xf>
    <xf numFmtId="0" fontId="4" fillId="3" borderId="4" xfId="0" applyFont="1" applyFill="1" applyBorder="1" applyAlignment="1">
      <alignment horizontal="center"/>
    </xf>
    <xf numFmtId="0" fontId="4" fillId="3" borderId="5" xfId="0" applyFont="1" applyFill="1" applyBorder="1" applyAlignment="1">
      <alignment horizontal="center"/>
    </xf>
    <xf numFmtId="166" fontId="0" fillId="0" borderId="0" xfId="0" applyNumberFormat="1"/>
    <xf numFmtId="167"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3" fontId="0" fillId="0" borderId="0" xfId="0" applyNumberFormat="1" applyAlignment="1">
      <alignment horizontal="center"/>
    </xf>
    <xf numFmtId="166" fontId="1" fillId="2" borderId="2" xfId="0" applyNumberFormat="1" applyFont="1" applyFill="1" applyBorder="1" applyAlignment="1">
      <alignment horizontal="center"/>
    </xf>
    <xf numFmtId="1" fontId="0" fillId="0" borderId="0" xfId="0" applyNumberFormat="1" applyAlignment="1">
      <alignment horizontal="center"/>
    </xf>
    <xf numFmtId="6" fontId="0" fillId="0" borderId="0" xfId="0" applyNumberFormat="1"/>
    <xf numFmtId="0" fontId="0" fillId="0" borderId="0" xfId="0" applyNumberFormat="1"/>
    <xf numFmtId="0" fontId="0" fillId="0" borderId="0" xfId="0" applyAlignment="1"/>
  </cellXfs>
  <cellStyles count="2">
    <cellStyle name="Hyperlink" xfId="1" builtinId="8"/>
    <cellStyle name="Normal" xfId="0" builtinId="0"/>
  </cellStyles>
  <dxfs count="47">
    <dxf>
      <alignment horizontal="general" vertical="bottom" textRotation="0" wrapText="0" indent="0" justifyLastLine="0" shrinkToFit="0" readingOrder="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6" formatCode="&quot;Rp&quot;#,##0"/>
    </dxf>
    <dxf>
      <numFmt numFmtId="168" formatCode="&quot;Rp&quot;#,##0.00"/>
    </dxf>
    <dxf>
      <numFmt numFmtId="10" formatCode="&quot;Rp&quot;#,##0;[Red]\-&quot;Rp&quot;#,##0"/>
    </dxf>
    <dxf>
      <numFmt numFmtId="10" formatCode="&quot;Rp&quot;#,##0;[Red]\-&quot;Rp&quot;#,##0"/>
    </dxf>
    <dxf>
      <numFmt numFmtId="10" formatCode="&quot;Rp&quot;#,##0;[Red]\-&quot;Rp&quot;#,##0"/>
    </dxf>
    <dxf>
      <numFmt numFmtId="12" formatCode="&quot;Rp&quot;#,##0.00;[Red]\-&quot;Rp&quot;#,##0.00"/>
    </dxf>
    <dxf>
      <numFmt numFmtId="167" formatCode="[$$-409]#,##0.00_ ;[Red]\-[$$-409]#,##0.00\ "/>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numFmt numFmtId="165" formatCode="#"/>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rgb="FF073673"/>
        </patternFill>
      </fil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quot;Rp&quot;#,##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166" formatCode="&quot;Rp&quot;#,##0"/>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rgb="FF073673"/>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color theme="1"/>
      </font>
      <border>
        <bottom style="thin">
          <color theme="4"/>
        </bottom>
        <vertical/>
        <horizontal/>
      </border>
    </dxf>
    <dxf>
      <font>
        <color theme="1"/>
      </font>
      <border>
        <left style="thin">
          <color theme="1"/>
        </left>
        <right style="thin">
          <color theme="1"/>
        </right>
        <top style="thin">
          <color theme="1"/>
        </top>
        <bottom style="thin">
          <color theme="1"/>
        </bottom>
        <vertical/>
        <horizontal/>
      </border>
    </dxf>
    <dxf>
      <fill>
        <patternFill>
          <bgColor theme="0"/>
        </patternFill>
      </fill>
      <border>
        <left style="thin">
          <color theme="1"/>
        </left>
        <right style="thin">
          <color theme="1"/>
        </right>
        <top style="thin">
          <color theme="1"/>
        </top>
        <bottom style="thin">
          <color theme="1"/>
        </bottom>
      </border>
    </dxf>
  </dxfs>
  <tableStyles count="3" defaultTableStyle="TableStyleMedium2" defaultPivotStyle="PivotStyleLight16">
    <tableStyle name="Slicer Style 1" pivot="0" table="0" count="0" xr9:uid="{2CABE704-8CB3-463B-B267-85A1BA4273B2}"/>
    <tableStyle name="Slicer Style 2" pivot="0" table="0" count="1" xr9:uid="{B31E1D2A-3A23-41AD-AD90-C6A657FAC7F3}">
      <tableStyleElement type="wholeTable" dxfId="46"/>
    </tableStyle>
    <tableStyle name="SlicerStyleLight1 2" pivot="0" table="0" count="10" xr9:uid="{12011463-8243-4596-A762-F925D6EE7A3C}">
      <tableStyleElement type="wholeTable" dxfId="45"/>
      <tableStyleElement type="headerRow" dxfId="44"/>
    </tableStyle>
  </tableStyles>
  <colors>
    <mruColors>
      <color rgb="FFFF4747"/>
      <color rgb="FF073673"/>
      <color rgb="FFFFFF9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34" Type="http://schemas.microsoft.com/office/2006/relationships/vbaProject" Target="vbaProject.bin"/><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connections" Target="connections.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8"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[Books Inventory Management.xlsm]Pivot Table!PivotTable16</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Inventory</a:t>
            </a:r>
            <a:r>
              <a:rPr lang="en-US" b="1" baseline="0">
                <a:solidFill>
                  <a:sysClr val="windowText" lastClr="000000"/>
                </a:solidFill>
              </a:rPr>
              <a:t> Value</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Table'!$C$20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Table'!$B$21:$B$35</c:f>
              <c:strCache>
                <c:ptCount val="14"/>
                <c:pt idx="0">
                  <c:v>Blackthron</c:v>
                </c:pt>
                <c:pt idx="1">
                  <c:v>Broker</c:v>
                </c:pt>
                <c:pt idx="2">
                  <c:v>Crimson</c:v>
                </c:pt>
                <c:pt idx="3">
                  <c:v>Fading Light</c:v>
                </c:pt>
                <c:pt idx="4">
                  <c:v>Frostfire</c:v>
                </c:pt>
                <c:pt idx="5">
                  <c:v>Iron Sky</c:v>
                </c:pt>
                <c:pt idx="6">
                  <c:v>Lost Horizon</c:v>
                </c:pt>
                <c:pt idx="7">
                  <c:v>Shattered</c:v>
                </c:pt>
                <c:pt idx="8">
                  <c:v>Silent Echo</c:v>
                </c:pt>
                <c:pt idx="9">
                  <c:v>Silver Veil</c:v>
                </c:pt>
                <c:pt idx="10">
                  <c:v>The Hollow</c:v>
                </c:pt>
                <c:pt idx="11">
                  <c:v>The Nexus</c:v>
                </c:pt>
                <c:pt idx="12">
                  <c:v>The Tide</c:v>
                </c:pt>
                <c:pt idx="13">
                  <c:v>Wanderlust</c:v>
                </c:pt>
              </c:strCache>
            </c:strRef>
          </c:cat>
          <c:val>
            <c:numRef>
              <c:f>'Pivot Table'!$C$21:$C$35</c:f>
              <c:numCache>
                <c:formatCode>"Rp"#,##0</c:formatCode>
                <c:ptCount val="14"/>
                <c:pt idx="0">
                  <c:v>138957159</c:v>
                </c:pt>
                <c:pt idx="1">
                  <c:v>135613800</c:v>
                </c:pt>
                <c:pt idx="2">
                  <c:v>12600315</c:v>
                </c:pt>
                <c:pt idx="3">
                  <c:v>8841105</c:v>
                </c:pt>
                <c:pt idx="4">
                  <c:v>12375360</c:v>
                </c:pt>
                <c:pt idx="5">
                  <c:v>17275044</c:v>
                </c:pt>
                <c:pt idx="6">
                  <c:v>36122919</c:v>
                </c:pt>
                <c:pt idx="7">
                  <c:v>50989104</c:v>
                </c:pt>
                <c:pt idx="8">
                  <c:v>29631924</c:v>
                </c:pt>
                <c:pt idx="9">
                  <c:v>116692566</c:v>
                </c:pt>
                <c:pt idx="10">
                  <c:v>90017172</c:v>
                </c:pt>
                <c:pt idx="11">
                  <c:v>3705429</c:v>
                </c:pt>
                <c:pt idx="12">
                  <c:v>12488850</c:v>
                </c:pt>
                <c:pt idx="13">
                  <c:v>60745806</c:v>
                </c:pt>
              </c:numCache>
            </c:numRef>
          </c:val>
          <c:extLst>
            <c:ext xmlns:c16="http://schemas.microsoft.com/office/drawing/2014/chart" uri="{C3380CC4-5D6E-409C-BE32-E72D297353CC}">
              <c16:uniqueId val="{00000000-539C-4B3B-8358-810D7AB3C93F}"/>
            </c:ext>
          </c:extLst>
        </c:ser>
        <c:dLbls>
          <c:dLblPos val="outEnd"/>
          <c:showLegendKey val="0"/>
          <c:showVal val="1"/>
          <c:showCatName val="0"/>
          <c:showSerName val="0"/>
          <c:showPercent val="0"/>
          <c:showBubbleSize val="0"/>
        </c:dLbls>
        <c:gapWidth val="219"/>
        <c:overlap val="-27"/>
        <c:axId val="1495944816"/>
        <c:axId val="1495947216"/>
      </c:barChart>
      <c:catAx>
        <c:axId val="149594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95947216"/>
        <c:crosses val="autoZero"/>
        <c:auto val="1"/>
        <c:lblAlgn val="ctr"/>
        <c:lblOffset val="100"/>
        <c:noMultiLvlLbl val="0"/>
      </c:catAx>
      <c:valAx>
        <c:axId val="1495947216"/>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959448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[Books Inventory Management.xlsm]Pivot Table!PivotTable1</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sz="1400" b="1" i="0" u="none" strike="noStrike" kern="1200" spc="0" baseline="0">
                <a:solidFill>
                  <a:sysClr val="windowText" lastClr="000000"/>
                </a:solidFill>
              </a:rPr>
              <a:t>Books Inventory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Table'!$C$2:$C$3</c:f>
              <c:strCache>
                <c:ptCount val="1"/>
                <c:pt idx="0">
                  <c:v>Stock is Safe</c:v>
                </c:pt>
              </c:strCache>
            </c:strRef>
          </c:tx>
          <c:spPr>
            <a:solidFill>
              <a:schemeClr val="accent1"/>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Table'!$B$4:$B$18</c:f>
              <c:strCache>
                <c:ptCount val="14"/>
                <c:pt idx="0">
                  <c:v>Blackthron</c:v>
                </c:pt>
                <c:pt idx="1">
                  <c:v>Broker</c:v>
                </c:pt>
                <c:pt idx="2">
                  <c:v>Crimson</c:v>
                </c:pt>
                <c:pt idx="3">
                  <c:v>Fading Light</c:v>
                </c:pt>
                <c:pt idx="4">
                  <c:v>Frostfire</c:v>
                </c:pt>
                <c:pt idx="5">
                  <c:v>Iron Sky</c:v>
                </c:pt>
                <c:pt idx="6">
                  <c:v>Lost Horizon</c:v>
                </c:pt>
                <c:pt idx="7">
                  <c:v>Shattered</c:v>
                </c:pt>
                <c:pt idx="8">
                  <c:v>Silent Echo</c:v>
                </c:pt>
                <c:pt idx="9">
                  <c:v>Silver Veil</c:v>
                </c:pt>
                <c:pt idx="10">
                  <c:v>The Hollow</c:v>
                </c:pt>
                <c:pt idx="11">
                  <c:v>The Nexus</c:v>
                </c:pt>
                <c:pt idx="12">
                  <c:v>The Tide</c:v>
                </c:pt>
                <c:pt idx="13">
                  <c:v>Wanderlust</c:v>
                </c:pt>
              </c:strCache>
            </c:strRef>
          </c:cat>
          <c:val>
            <c:numRef>
              <c:f>'Pivot Table'!$C$4:$C$18</c:f>
              <c:numCache>
                <c:formatCode>General</c:formatCode>
                <c:ptCount val="14"/>
                <c:pt idx="0">
                  <c:v>11</c:v>
                </c:pt>
                <c:pt idx="1">
                  <c:v>24</c:v>
                </c:pt>
                <c:pt idx="6">
                  <c:v>7</c:v>
                </c:pt>
                <c:pt idx="7">
                  <c:v>8</c:v>
                </c:pt>
                <c:pt idx="8">
                  <c:v>12</c:v>
                </c:pt>
                <c:pt idx="9">
                  <c:v>19</c:v>
                </c:pt>
                <c:pt idx="10">
                  <c:v>21</c:v>
                </c:pt>
                <c:pt idx="12">
                  <c:v>5</c:v>
                </c:pt>
                <c:pt idx="13">
                  <c:v>22</c:v>
                </c:pt>
              </c:numCache>
            </c:numRef>
          </c:val>
          <c:extLst>
            <c:ext xmlns:c16="http://schemas.microsoft.com/office/drawing/2014/chart" uri="{C3380CC4-5D6E-409C-BE32-E72D297353CC}">
              <c16:uniqueId val="{00000000-544A-4494-AD54-01FFAF5B9A27}"/>
            </c:ext>
          </c:extLst>
        </c:ser>
        <c:ser>
          <c:idx val="1"/>
          <c:order val="1"/>
          <c:tx>
            <c:strRef>
              <c:f>'Pivot Table'!$D$2:$D$3</c:f>
              <c:strCache>
                <c:ptCount val="1"/>
                <c:pt idx="0">
                  <c:v>Restock Needed</c:v>
                </c:pt>
              </c:strCache>
            </c:strRef>
          </c:tx>
          <c:spPr>
            <a:solidFill>
              <a:srgbClr val="FF0000"/>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Table'!$B$4:$B$18</c:f>
              <c:strCache>
                <c:ptCount val="14"/>
                <c:pt idx="0">
                  <c:v>Blackthron</c:v>
                </c:pt>
                <c:pt idx="1">
                  <c:v>Broker</c:v>
                </c:pt>
                <c:pt idx="2">
                  <c:v>Crimson</c:v>
                </c:pt>
                <c:pt idx="3">
                  <c:v>Fading Light</c:v>
                </c:pt>
                <c:pt idx="4">
                  <c:v>Frostfire</c:v>
                </c:pt>
                <c:pt idx="5">
                  <c:v>Iron Sky</c:v>
                </c:pt>
                <c:pt idx="6">
                  <c:v>Lost Horizon</c:v>
                </c:pt>
                <c:pt idx="7">
                  <c:v>Shattered</c:v>
                </c:pt>
                <c:pt idx="8">
                  <c:v>Silent Echo</c:v>
                </c:pt>
                <c:pt idx="9">
                  <c:v>Silver Veil</c:v>
                </c:pt>
                <c:pt idx="10">
                  <c:v>The Hollow</c:v>
                </c:pt>
                <c:pt idx="11">
                  <c:v>The Nexus</c:v>
                </c:pt>
                <c:pt idx="12">
                  <c:v>The Tide</c:v>
                </c:pt>
                <c:pt idx="13">
                  <c:v>Wanderlust</c:v>
                </c:pt>
              </c:strCache>
            </c:strRef>
          </c:cat>
          <c:val>
            <c:numRef>
              <c:f>'Pivot Table'!$D$4:$D$18</c:f>
              <c:numCache>
                <c:formatCode>General</c:formatCode>
                <c:ptCount val="14"/>
                <c:pt idx="2">
                  <c:v>5</c:v>
                </c:pt>
                <c:pt idx="3">
                  <c:v>3</c:v>
                </c:pt>
                <c:pt idx="4">
                  <c:v>5</c:v>
                </c:pt>
                <c:pt idx="5">
                  <c:v>4</c:v>
                </c:pt>
                <c:pt idx="11">
                  <c:v>1</c:v>
                </c:pt>
              </c:numCache>
            </c:numRef>
          </c:val>
          <c:extLst>
            <c:ext xmlns:c16="http://schemas.microsoft.com/office/drawing/2014/chart" uri="{C3380CC4-5D6E-409C-BE32-E72D297353CC}">
              <c16:uniqueId val="{00000005-C3E5-4F54-8826-6D114B6D63B7}"/>
            </c:ext>
          </c:extLst>
        </c:ser>
        <c:dLbls>
          <c:dLblPos val="outEnd"/>
          <c:showLegendKey val="0"/>
          <c:showVal val="1"/>
          <c:showCatName val="0"/>
          <c:showSerName val="0"/>
          <c:showPercent val="0"/>
          <c:showBubbleSize val="0"/>
        </c:dLbls>
        <c:gapWidth val="182"/>
        <c:axId val="1684117760"/>
        <c:axId val="1684119680"/>
      </c:barChart>
      <c:catAx>
        <c:axId val="1684117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684119680"/>
        <c:crosses val="autoZero"/>
        <c:auto val="1"/>
        <c:lblAlgn val="ctr"/>
        <c:lblOffset val="100"/>
        <c:noMultiLvlLbl val="0"/>
      </c:catAx>
      <c:valAx>
        <c:axId val="1684119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84117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[Books Inventory Management.xlsm]Pivot Table!PivotTable2</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solidFill>
              </a:rPr>
              <a:t>Reorder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Table'!$H$2</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4D8-4CA1-8688-C23F85D29B28}"/>
              </c:ext>
            </c:extLst>
          </c:dPt>
          <c:dLbls>
            <c:dLbl>
              <c:idx val="0"/>
              <c:delete val="1"/>
              <c:extLst>
                <c:ext xmlns:c15="http://schemas.microsoft.com/office/drawing/2012/chart" uri="{CE6537A1-D6FC-4f65-9D91-7224C49458BB}"/>
                <c:ext xmlns:c16="http://schemas.microsoft.com/office/drawing/2014/chart" uri="{C3380CC4-5D6E-409C-BE32-E72D297353CC}">
                  <c16:uniqueId val="{00000001-C4D8-4CA1-8688-C23F85D29B28}"/>
                </c:ext>
              </c:extLst>
            </c:dLbl>
            <c:spPr>
              <a:solidFill>
                <a:srgbClr val="92D050"/>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Table'!$G$3:$G$9</c:f>
              <c:strCache>
                <c:ptCount val="6"/>
                <c:pt idx="1">
                  <c:v>Crimson</c:v>
                </c:pt>
                <c:pt idx="2">
                  <c:v>Frostfire</c:v>
                </c:pt>
                <c:pt idx="3">
                  <c:v>Iron Sky</c:v>
                </c:pt>
                <c:pt idx="4">
                  <c:v>Fading Light</c:v>
                </c:pt>
                <c:pt idx="5">
                  <c:v>The Nexus</c:v>
                </c:pt>
              </c:strCache>
            </c:strRef>
          </c:cat>
          <c:val>
            <c:numRef>
              <c:f>'Pivot Table'!$H$3:$H$9</c:f>
              <c:numCache>
                <c:formatCode>"Rp"#,##0_);[Red]\("Rp"#,##0\)</c:formatCode>
                <c:ptCount val="6"/>
                <c:pt idx="0">
                  <c:v>0</c:v>
                </c:pt>
                <c:pt idx="1">
                  <c:v>3360084</c:v>
                </c:pt>
                <c:pt idx="2">
                  <c:v>3300096</c:v>
                </c:pt>
                <c:pt idx="3">
                  <c:v>5758348</c:v>
                </c:pt>
                <c:pt idx="4">
                  <c:v>1964690</c:v>
                </c:pt>
                <c:pt idx="5">
                  <c:v>4940572</c:v>
                </c:pt>
              </c:numCache>
            </c:numRef>
          </c:val>
          <c:extLst>
            <c:ext xmlns:c16="http://schemas.microsoft.com/office/drawing/2014/chart" uri="{C3380CC4-5D6E-409C-BE32-E72D297353CC}">
              <c16:uniqueId val="{00000000-C4D8-4CA1-8688-C23F85D29B28}"/>
            </c:ext>
          </c:extLst>
        </c:ser>
        <c:dLbls>
          <c:dLblPos val="inEnd"/>
          <c:showLegendKey val="0"/>
          <c:showVal val="1"/>
          <c:showCatName val="0"/>
          <c:showSerName val="0"/>
          <c:showPercent val="0"/>
          <c:showBubbleSize val="0"/>
        </c:dLbls>
        <c:gapWidth val="182"/>
        <c:axId val="701031680"/>
        <c:axId val="701054720"/>
      </c:barChart>
      <c:catAx>
        <c:axId val="701031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701054720"/>
        <c:crosses val="autoZero"/>
        <c:auto val="1"/>
        <c:lblAlgn val="ctr"/>
        <c:lblOffset val="100"/>
        <c:noMultiLvlLbl val="0"/>
      </c:catAx>
      <c:valAx>
        <c:axId val="701054720"/>
        <c:scaling>
          <c:orientation val="minMax"/>
        </c:scaling>
        <c:delete val="1"/>
        <c:axPos val="b"/>
        <c:majorGridlines>
          <c:spPr>
            <a:ln w="9525" cap="flat" cmpd="sng" algn="ctr">
              <a:solidFill>
                <a:schemeClr val="tx1">
                  <a:lumMod val="15000"/>
                  <a:lumOff val="85000"/>
                </a:schemeClr>
              </a:solidFill>
              <a:round/>
            </a:ln>
            <a:effectLst/>
          </c:spPr>
        </c:majorGridlines>
        <c:numFmt formatCode="&quot;Rp&quot;#,##0_);[Red]\(&quot;Rp&quot;#,##0\)" sourceLinked="1"/>
        <c:majorTickMark val="none"/>
        <c:minorTickMark val="none"/>
        <c:tickLblPos val="nextTo"/>
        <c:crossAx val="701031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Order Summary'!A1"/><Relationship Id="rId2" Type="http://schemas.openxmlformats.org/officeDocument/2006/relationships/hyperlink" Target="#'Vendor Info'!A1"/><Relationship Id="rId1" Type="http://schemas.openxmlformats.org/officeDocument/2006/relationships/hyperlink" Target="#Inventory!A1"/><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Order Summary'!A1"/><Relationship Id="rId2" Type="http://schemas.openxmlformats.org/officeDocument/2006/relationships/hyperlink" Target="#'Vendor Info'!A1"/><Relationship Id="rId1" Type="http://schemas.openxmlformats.org/officeDocument/2006/relationships/hyperlink" Target="#Inventory!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Order Summary'!A1"/><Relationship Id="rId2" Type="http://schemas.openxmlformats.org/officeDocument/2006/relationships/hyperlink" Target="#'Vendor Info'!A1"/><Relationship Id="rId1" Type="http://schemas.openxmlformats.org/officeDocument/2006/relationships/hyperlink" Target="#Inventory!A1"/><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16565</xdr:colOff>
      <xdr:row>3</xdr:row>
      <xdr:rowOff>82826</xdr:rowOff>
    </xdr:from>
    <xdr:to>
      <xdr:col>1</xdr:col>
      <xdr:colOff>0</xdr:colOff>
      <xdr:row>5</xdr:row>
      <xdr:rowOff>99391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E64BCF22-8BF3-430E-92D7-E9C66532F83A}"/>
            </a:ext>
          </a:extLst>
        </xdr:cNvPr>
        <xdr:cNvSpPr/>
      </xdr:nvSpPr>
      <xdr:spPr>
        <a:xfrm>
          <a:off x="16565" y="749576"/>
          <a:ext cx="1116910" cy="41661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Inventory</a:t>
          </a:r>
        </a:p>
      </xdr:txBody>
    </xdr:sp>
    <xdr:clientData/>
  </xdr:twoCellAnchor>
  <xdr:twoCellAnchor>
    <xdr:from>
      <xdr:col>0</xdr:col>
      <xdr:colOff>16564</xdr:colOff>
      <xdr:row>6</xdr:row>
      <xdr:rowOff>49695</xdr:rowOff>
    </xdr:from>
    <xdr:to>
      <xdr:col>1</xdr:col>
      <xdr:colOff>0</xdr:colOff>
      <xdr:row>8</xdr:row>
      <xdr:rowOff>66260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20265E37-05CA-4BB4-9832-B229DE231EDD}"/>
            </a:ext>
          </a:extLst>
        </xdr:cNvPr>
        <xdr:cNvSpPr/>
      </xdr:nvSpPr>
      <xdr:spPr>
        <a:xfrm>
          <a:off x="16564" y="1316520"/>
          <a:ext cx="1116911" cy="41661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Vendor</a:t>
          </a:r>
          <a:r>
            <a:rPr lang="en-ID" sz="1100" b="1" baseline="0"/>
            <a:t> </a:t>
          </a:r>
          <a:r>
            <a:rPr lang="en-ID" sz="1100" b="1"/>
            <a:t>Info</a:t>
          </a:r>
        </a:p>
      </xdr:txBody>
    </xdr:sp>
    <xdr:clientData/>
  </xdr:twoCellAnchor>
  <xdr:twoCellAnchor>
    <xdr:from>
      <xdr:col>0</xdr:col>
      <xdr:colOff>16563</xdr:colOff>
      <xdr:row>9</xdr:row>
      <xdr:rowOff>24848</xdr:rowOff>
    </xdr:from>
    <xdr:to>
      <xdr:col>1</xdr:col>
      <xdr:colOff>8283</xdr:colOff>
      <xdr:row>11</xdr:row>
      <xdr:rowOff>41412</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7DC99A28-3BFD-4E7D-9097-6EC27E9F7A34}"/>
            </a:ext>
          </a:extLst>
        </xdr:cNvPr>
        <xdr:cNvSpPr/>
      </xdr:nvSpPr>
      <xdr:spPr>
        <a:xfrm>
          <a:off x="16563" y="1891748"/>
          <a:ext cx="1125195" cy="4166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Order Summary</a:t>
          </a:r>
        </a:p>
      </xdr:txBody>
    </xdr:sp>
    <xdr:clientData/>
  </xdr:twoCellAnchor>
  <xdr:twoCellAnchor editAs="oneCell">
    <xdr:from>
      <xdr:col>0</xdr:col>
      <xdr:colOff>0</xdr:colOff>
      <xdr:row>0</xdr:row>
      <xdr:rowOff>157370</xdr:rowOff>
    </xdr:from>
    <xdr:to>
      <xdr:col>0</xdr:col>
      <xdr:colOff>1126435</xdr:colOff>
      <xdr:row>2</xdr:row>
      <xdr:rowOff>169872</xdr:rowOff>
    </xdr:to>
    <xdr:pic>
      <xdr:nvPicPr>
        <xdr:cNvPr id="5" name="Picture 4">
          <a:extLst>
            <a:ext uri="{FF2B5EF4-FFF2-40B4-BE49-F238E27FC236}">
              <a16:creationId xmlns:a16="http://schemas.microsoft.com/office/drawing/2014/main" id="{F076C527-1920-4C00-8301-35A173B69F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57370"/>
          <a:ext cx="1126435" cy="4763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16565</xdr:colOff>
      <xdr:row>3</xdr:row>
      <xdr:rowOff>82826</xdr:rowOff>
    </xdr:from>
    <xdr:to>
      <xdr:col>1</xdr:col>
      <xdr:colOff>0</xdr:colOff>
      <xdr:row>5</xdr:row>
      <xdr:rowOff>99391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E73A88BF-4755-4C66-AE36-C8E1A24F1531}"/>
            </a:ext>
          </a:extLst>
        </xdr:cNvPr>
        <xdr:cNvSpPr/>
      </xdr:nvSpPr>
      <xdr:spPr>
        <a:xfrm>
          <a:off x="16565" y="749576"/>
          <a:ext cx="1116910" cy="41661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Inventory</a:t>
          </a:r>
        </a:p>
      </xdr:txBody>
    </xdr:sp>
    <xdr:clientData/>
  </xdr:twoCellAnchor>
  <xdr:twoCellAnchor>
    <xdr:from>
      <xdr:col>0</xdr:col>
      <xdr:colOff>16564</xdr:colOff>
      <xdr:row>6</xdr:row>
      <xdr:rowOff>49695</xdr:rowOff>
    </xdr:from>
    <xdr:to>
      <xdr:col>1</xdr:col>
      <xdr:colOff>0</xdr:colOff>
      <xdr:row>8</xdr:row>
      <xdr:rowOff>66260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84275FAF-B268-49C4-B28C-D3449016E5FE}"/>
            </a:ext>
          </a:extLst>
        </xdr:cNvPr>
        <xdr:cNvSpPr/>
      </xdr:nvSpPr>
      <xdr:spPr>
        <a:xfrm>
          <a:off x="16564" y="1316520"/>
          <a:ext cx="1116911" cy="6356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Vendor</a:t>
          </a:r>
          <a:r>
            <a:rPr lang="en-ID" sz="1100" b="1" baseline="0"/>
            <a:t> </a:t>
          </a:r>
          <a:r>
            <a:rPr lang="en-ID" sz="1100" b="1"/>
            <a:t>Info</a:t>
          </a:r>
        </a:p>
      </xdr:txBody>
    </xdr:sp>
    <xdr:clientData/>
  </xdr:twoCellAnchor>
  <xdr:twoCellAnchor>
    <xdr:from>
      <xdr:col>0</xdr:col>
      <xdr:colOff>16563</xdr:colOff>
      <xdr:row>9</xdr:row>
      <xdr:rowOff>24848</xdr:rowOff>
    </xdr:from>
    <xdr:to>
      <xdr:col>1</xdr:col>
      <xdr:colOff>8283</xdr:colOff>
      <xdr:row>11</xdr:row>
      <xdr:rowOff>41412</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E2ACD871-3656-45B0-BC8B-36219222EACC}"/>
            </a:ext>
          </a:extLst>
        </xdr:cNvPr>
        <xdr:cNvSpPr/>
      </xdr:nvSpPr>
      <xdr:spPr>
        <a:xfrm>
          <a:off x="16563" y="2110823"/>
          <a:ext cx="1125195" cy="4166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Order Summary</a:t>
          </a:r>
        </a:p>
      </xdr:txBody>
    </xdr:sp>
    <xdr:clientData/>
  </xdr:twoCellAnchor>
  <xdr:twoCellAnchor editAs="oneCell">
    <xdr:from>
      <xdr:col>0</xdr:col>
      <xdr:colOff>0</xdr:colOff>
      <xdr:row>0</xdr:row>
      <xdr:rowOff>157370</xdr:rowOff>
    </xdr:from>
    <xdr:to>
      <xdr:col>1</xdr:col>
      <xdr:colOff>33130</xdr:colOff>
      <xdr:row>2</xdr:row>
      <xdr:rowOff>169872</xdr:rowOff>
    </xdr:to>
    <xdr:pic>
      <xdr:nvPicPr>
        <xdr:cNvPr id="5" name="Picture 4">
          <a:extLst>
            <a:ext uri="{FF2B5EF4-FFF2-40B4-BE49-F238E27FC236}">
              <a16:creationId xmlns:a16="http://schemas.microsoft.com/office/drawing/2014/main" id="{40A5303C-C170-41CE-A8C0-4E3D8BE82BB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57370"/>
          <a:ext cx="1167847" cy="47632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16565</xdr:colOff>
      <xdr:row>3</xdr:row>
      <xdr:rowOff>82826</xdr:rowOff>
    </xdr:from>
    <xdr:to>
      <xdr:col>1</xdr:col>
      <xdr:colOff>0</xdr:colOff>
      <xdr:row>5</xdr:row>
      <xdr:rowOff>99391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A88C3B32-619B-0597-BE35-9B45FD10EDA1}"/>
            </a:ext>
          </a:extLst>
        </xdr:cNvPr>
        <xdr:cNvSpPr/>
      </xdr:nvSpPr>
      <xdr:spPr>
        <a:xfrm>
          <a:off x="16565" y="745435"/>
          <a:ext cx="1085022" cy="4141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just"/>
          <a:r>
            <a:rPr lang="en-ID" sz="1100" b="1"/>
            <a:t>Inventory</a:t>
          </a:r>
        </a:p>
      </xdr:txBody>
    </xdr:sp>
    <xdr:clientData/>
  </xdr:twoCellAnchor>
  <xdr:twoCellAnchor>
    <xdr:from>
      <xdr:col>0</xdr:col>
      <xdr:colOff>16564</xdr:colOff>
      <xdr:row>6</xdr:row>
      <xdr:rowOff>49695</xdr:rowOff>
    </xdr:from>
    <xdr:to>
      <xdr:col>1</xdr:col>
      <xdr:colOff>0</xdr:colOff>
      <xdr:row>8</xdr:row>
      <xdr:rowOff>66260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E8B2B20-6C38-E14C-61A4-4E47913396E5}"/>
            </a:ext>
          </a:extLst>
        </xdr:cNvPr>
        <xdr:cNvSpPr/>
      </xdr:nvSpPr>
      <xdr:spPr>
        <a:xfrm>
          <a:off x="16564" y="1308652"/>
          <a:ext cx="1118153" cy="4141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Vendor</a:t>
          </a:r>
          <a:r>
            <a:rPr lang="en-ID" sz="1100" b="1" baseline="0"/>
            <a:t> </a:t>
          </a:r>
          <a:r>
            <a:rPr lang="en-ID" sz="1100" b="1"/>
            <a:t>Info</a:t>
          </a:r>
        </a:p>
      </xdr:txBody>
    </xdr:sp>
    <xdr:clientData/>
  </xdr:twoCellAnchor>
  <xdr:twoCellAnchor>
    <xdr:from>
      <xdr:col>0</xdr:col>
      <xdr:colOff>16563</xdr:colOff>
      <xdr:row>9</xdr:row>
      <xdr:rowOff>24848</xdr:rowOff>
    </xdr:from>
    <xdr:to>
      <xdr:col>1</xdr:col>
      <xdr:colOff>8283</xdr:colOff>
      <xdr:row>11</xdr:row>
      <xdr:rowOff>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EA969C-792F-A8B5-47CD-70FAA8815AAD}"/>
            </a:ext>
          </a:extLst>
        </xdr:cNvPr>
        <xdr:cNvSpPr/>
      </xdr:nvSpPr>
      <xdr:spPr>
        <a:xfrm>
          <a:off x="16563" y="1880152"/>
          <a:ext cx="1126437" cy="4141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b="1"/>
            <a:t>Order Summary</a:t>
          </a:r>
        </a:p>
      </xdr:txBody>
    </xdr:sp>
    <xdr:clientData/>
  </xdr:twoCellAnchor>
  <xdr:twoCellAnchor editAs="oneCell">
    <xdr:from>
      <xdr:col>0</xdr:col>
      <xdr:colOff>0</xdr:colOff>
      <xdr:row>0</xdr:row>
      <xdr:rowOff>157370</xdr:rowOff>
    </xdr:from>
    <xdr:to>
      <xdr:col>1</xdr:col>
      <xdr:colOff>0</xdr:colOff>
      <xdr:row>2</xdr:row>
      <xdr:rowOff>169872</xdr:rowOff>
    </xdr:to>
    <xdr:pic>
      <xdr:nvPicPr>
        <xdr:cNvPr id="8" name="Picture 7">
          <a:extLst>
            <a:ext uri="{FF2B5EF4-FFF2-40B4-BE49-F238E27FC236}">
              <a16:creationId xmlns:a16="http://schemas.microsoft.com/office/drawing/2014/main" id="{01931C72-0A62-0764-4572-D992F53DD0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57370"/>
          <a:ext cx="1134717" cy="4763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678656</xdr:colOff>
      <xdr:row>1</xdr:row>
      <xdr:rowOff>0</xdr:rowOff>
    </xdr:from>
    <xdr:to>
      <xdr:col>12</xdr:col>
      <xdr:colOff>542925</xdr:colOff>
      <xdr:row>3</xdr:row>
      <xdr:rowOff>111125</xdr:rowOff>
    </xdr:to>
    <xdr:sp macro="" textlink="">
      <xdr:nvSpPr>
        <xdr:cNvPr id="2" name="Rectangle 1">
          <a:extLst>
            <a:ext uri="{FF2B5EF4-FFF2-40B4-BE49-F238E27FC236}">
              <a16:creationId xmlns:a16="http://schemas.microsoft.com/office/drawing/2014/main" id="{AA3BCED7-DB8F-C8E9-3D0E-014352688E20}"/>
            </a:ext>
          </a:extLst>
        </xdr:cNvPr>
        <xdr:cNvSpPr/>
      </xdr:nvSpPr>
      <xdr:spPr>
        <a:xfrm>
          <a:off x="678656" y="206375"/>
          <a:ext cx="8055769" cy="523875"/>
        </a:xfrm>
        <a:prstGeom prst="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2000" b="1">
              <a:latin typeface="+mj-lt"/>
            </a:rPr>
            <a:t>Books Inventory</a:t>
          </a:r>
          <a:r>
            <a:rPr lang="en-ID" sz="2000" b="1" baseline="0">
              <a:latin typeface="+mj-lt"/>
            </a:rPr>
            <a:t> Dashboard</a:t>
          </a:r>
          <a:endParaRPr lang="en-ID" sz="2000" b="1">
            <a:latin typeface="+mj-lt"/>
          </a:endParaRPr>
        </a:p>
      </xdr:txBody>
    </xdr:sp>
    <xdr:clientData/>
  </xdr:twoCellAnchor>
  <xdr:twoCellAnchor editAs="oneCell">
    <xdr:from>
      <xdr:col>0</xdr:col>
      <xdr:colOff>678655</xdr:colOff>
      <xdr:row>3</xdr:row>
      <xdr:rowOff>179387</xdr:rowOff>
    </xdr:from>
    <xdr:to>
      <xdr:col>5</xdr:col>
      <xdr:colOff>595311</xdr:colOff>
      <xdr:row>8</xdr:row>
      <xdr:rowOff>176892</xdr:rowOff>
    </xdr:to>
    <mc:AlternateContent xmlns:mc="http://schemas.openxmlformats.org/markup-compatibility/2006" xmlns:a14="http://schemas.microsoft.com/office/drawing/2010/main">
      <mc:Choice Requires="a14">
        <xdr:graphicFrame macro="">
          <xdr:nvGraphicFramePr>
            <xdr:cNvPr id="5" name="Reorder?">
              <a:extLst>
                <a:ext uri="{FF2B5EF4-FFF2-40B4-BE49-F238E27FC236}">
                  <a16:creationId xmlns:a16="http://schemas.microsoft.com/office/drawing/2014/main" id="{18441D9E-7FAA-080F-3A28-2F9AAA964618}"/>
                </a:ext>
              </a:extLst>
            </xdr:cNvPr>
            <xdr:cNvGraphicFramePr/>
          </xdr:nvGraphicFramePr>
          <xdr:xfrm>
            <a:off x="0" y="0"/>
            <a:ext cx="0" cy="0"/>
          </xdr:xfrm>
          <a:graphic>
            <a:graphicData uri="http://schemas.microsoft.com/office/drawing/2010/slicer">
              <sle:slicer xmlns:sle="http://schemas.microsoft.com/office/drawing/2010/slicer" name="Reorder?"/>
            </a:graphicData>
          </a:graphic>
        </xdr:graphicFrame>
      </mc:Choice>
      <mc:Fallback xmlns="">
        <xdr:sp macro="" textlink="">
          <xdr:nvSpPr>
            <xdr:cNvPr id="0" name=""/>
            <xdr:cNvSpPr>
              <a:spLocks noTextEdit="1"/>
            </xdr:cNvSpPr>
          </xdr:nvSpPr>
          <xdr:spPr>
            <a:xfrm>
              <a:off x="678655" y="786606"/>
              <a:ext cx="3369469" cy="100953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678655</xdr:colOff>
      <xdr:row>26</xdr:row>
      <xdr:rowOff>68260</xdr:rowOff>
    </xdr:from>
    <xdr:to>
      <xdr:col>12</xdr:col>
      <xdr:colOff>552449</xdr:colOff>
      <xdr:row>36</xdr:row>
      <xdr:rowOff>132102</xdr:rowOff>
    </xdr:to>
    <xdr:graphicFrame macro="">
      <xdr:nvGraphicFramePr>
        <xdr:cNvPr id="8" name="Chart 7">
          <a:extLst>
            <a:ext uri="{FF2B5EF4-FFF2-40B4-BE49-F238E27FC236}">
              <a16:creationId xmlns:a16="http://schemas.microsoft.com/office/drawing/2014/main" id="{CB0B0BA6-A96C-427C-87FE-84042EA61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263077</xdr:colOff>
      <xdr:row>4</xdr:row>
      <xdr:rowOff>126488</xdr:rowOff>
    </xdr:from>
    <xdr:to>
      <xdr:col>9</xdr:col>
      <xdr:colOff>263077</xdr:colOff>
      <xdr:row>8</xdr:row>
      <xdr:rowOff>23238</xdr:rowOff>
    </xdr:to>
    <xdr:cxnSp macro="">
      <xdr:nvCxnSpPr>
        <xdr:cNvPr id="14" name="Straight Connector 13">
          <a:extLst>
            <a:ext uri="{FF2B5EF4-FFF2-40B4-BE49-F238E27FC236}">
              <a16:creationId xmlns:a16="http://schemas.microsoft.com/office/drawing/2014/main" id="{186C9CEB-50DD-5876-FF49-4DF1F294BC5D}"/>
            </a:ext>
          </a:extLst>
        </xdr:cNvPr>
        <xdr:cNvCxnSpPr/>
      </xdr:nvCxnSpPr>
      <xdr:spPr>
        <a:xfrm>
          <a:off x="6386291" y="942917"/>
          <a:ext cx="0" cy="713178"/>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666749</xdr:colOff>
      <xdr:row>3</xdr:row>
      <xdr:rowOff>179386</xdr:rowOff>
    </xdr:from>
    <xdr:to>
      <xdr:col>12</xdr:col>
      <xdr:colOff>542925</xdr:colOff>
      <xdr:row>8</xdr:row>
      <xdr:rowOff>167434</xdr:rowOff>
    </xdr:to>
    <xdr:grpSp>
      <xdr:nvGrpSpPr>
        <xdr:cNvPr id="23" name="Group 22">
          <a:extLst>
            <a:ext uri="{FF2B5EF4-FFF2-40B4-BE49-F238E27FC236}">
              <a16:creationId xmlns:a16="http://schemas.microsoft.com/office/drawing/2014/main" id="{5E66079B-DEC6-9F1D-4FF3-932A1FD8EF63}"/>
            </a:ext>
          </a:extLst>
        </xdr:cNvPr>
        <xdr:cNvGrpSpPr/>
      </xdr:nvGrpSpPr>
      <xdr:grpSpPr>
        <a:xfrm>
          <a:off x="4068535" y="791707"/>
          <a:ext cx="4638676" cy="1008584"/>
          <a:chOff x="4068535" y="791707"/>
          <a:chExt cx="4638676" cy="1008584"/>
        </a:xfrm>
      </xdr:grpSpPr>
      <xdr:sp macro="" textlink="">
        <xdr:nvSpPr>
          <xdr:cNvPr id="10" name="Rectangle 9">
            <a:extLst>
              <a:ext uri="{FF2B5EF4-FFF2-40B4-BE49-F238E27FC236}">
                <a16:creationId xmlns:a16="http://schemas.microsoft.com/office/drawing/2014/main" id="{6BCFFC30-8A3A-3A40-3782-E92AF5D78A5A}"/>
              </a:ext>
            </a:extLst>
          </xdr:cNvPr>
          <xdr:cNvSpPr/>
        </xdr:nvSpPr>
        <xdr:spPr>
          <a:xfrm>
            <a:off x="4068535" y="791707"/>
            <a:ext cx="4638676" cy="1008584"/>
          </a:xfrm>
          <a:prstGeom prst="rect">
            <a:avLst/>
          </a:prstGeom>
          <a:solidFill>
            <a:sysClr val="window" lastClr="FFFFFF"/>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11" name="Rectangle 10">
            <a:extLst>
              <a:ext uri="{FF2B5EF4-FFF2-40B4-BE49-F238E27FC236}">
                <a16:creationId xmlns:a16="http://schemas.microsoft.com/office/drawing/2014/main" id="{50D313B5-8206-117B-8254-1F7DEA0266AE}"/>
              </a:ext>
            </a:extLst>
          </xdr:cNvPr>
          <xdr:cNvSpPr/>
        </xdr:nvSpPr>
        <xdr:spPr>
          <a:xfrm>
            <a:off x="4297938" y="880631"/>
            <a:ext cx="1934100" cy="378022"/>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200" b="1">
                <a:solidFill>
                  <a:sysClr val="windowText" lastClr="000000"/>
                </a:solidFill>
              </a:rPr>
              <a:t>Total Reorder Cost</a:t>
            </a:r>
          </a:p>
        </xdr:txBody>
      </xdr:sp>
      <xdr:sp macro="" textlink="'Order Summary'!D4">
        <xdr:nvSpPr>
          <xdr:cNvPr id="12" name="Rectangle: Rounded Corners 11">
            <a:extLst>
              <a:ext uri="{FF2B5EF4-FFF2-40B4-BE49-F238E27FC236}">
                <a16:creationId xmlns:a16="http://schemas.microsoft.com/office/drawing/2014/main" id="{3B60BAE3-98FC-25CB-BD60-FB403ED8CFC6}"/>
              </a:ext>
            </a:extLst>
          </xdr:cNvPr>
          <xdr:cNvSpPr/>
        </xdr:nvSpPr>
        <xdr:spPr>
          <a:xfrm>
            <a:off x="4214877" y="1262483"/>
            <a:ext cx="2100218" cy="370230"/>
          </a:xfrm>
          <a:prstGeom prst="roundRect">
            <a:avLst/>
          </a:prstGeom>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77688FB-5370-4984-A7AA-937B32C997B8}" type="TxLink">
              <a:rPr lang="en-US" sz="1600" b="1" i="0" u="none" strike="noStrike">
                <a:solidFill>
                  <a:schemeClr val="bg1"/>
                </a:solidFill>
                <a:latin typeface="Aptos Narrow"/>
              </a:rPr>
              <a:pPr algn="ctr"/>
              <a:t>Rp19.323.790</a:t>
            </a:fld>
            <a:endParaRPr lang="en-ID" sz="1400">
              <a:solidFill>
                <a:schemeClr val="bg1"/>
              </a:solidFill>
            </a:endParaRPr>
          </a:p>
        </xdr:txBody>
      </xdr:sp>
      <xdr:sp macro="" textlink="">
        <xdr:nvSpPr>
          <xdr:cNvPr id="15" name="Rectangle 14">
            <a:extLst>
              <a:ext uri="{FF2B5EF4-FFF2-40B4-BE49-F238E27FC236}">
                <a16:creationId xmlns:a16="http://schemas.microsoft.com/office/drawing/2014/main" id="{B4DA25CF-55E7-469C-B1D6-61077524E0B3}"/>
              </a:ext>
            </a:extLst>
          </xdr:cNvPr>
          <xdr:cNvSpPr/>
        </xdr:nvSpPr>
        <xdr:spPr>
          <a:xfrm>
            <a:off x="6585635" y="878293"/>
            <a:ext cx="1934101" cy="378022"/>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200" b="1">
                <a:solidFill>
                  <a:sysClr val="windowText" lastClr="000000"/>
                </a:solidFill>
              </a:rPr>
              <a:t>Total Inventory</a:t>
            </a:r>
            <a:r>
              <a:rPr lang="en-ID" sz="1200" b="1" baseline="0">
                <a:solidFill>
                  <a:sysClr val="windowText" lastClr="000000"/>
                </a:solidFill>
              </a:rPr>
              <a:t> Value</a:t>
            </a:r>
            <a:endParaRPr lang="en-ID" sz="1200" b="1">
              <a:solidFill>
                <a:sysClr val="windowText" lastClr="000000"/>
              </a:solidFill>
            </a:endParaRPr>
          </a:p>
        </xdr:txBody>
      </xdr:sp>
      <xdr:sp macro="" textlink="Inventory!D4">
        <xdr:nvSpPr>
          <xdr:cNvPr id="16" name="Rectangle: Rounded Corners 15">
            <a:extLst>
              <a:ext uri="{FF2B5EF4-FFF2-40B4-BE49-F238E27FC236}">
                <a16:creationId xmlns:a16="http://schemas.microsoft.com/office/drawing/2014/main" id="{2C16A0AC-D718-4222-8F11-DA333F50535C}"/>
              </a:ext>
            </a:extLst>
          </xdr:cNvPr>
          <xdr:cNvSpPr/>
        </xdr:nvSpPr>
        <xdr:spPr>
          <a:xfrm>
            <a:off x="6502574" y="1262483"/>
            <a:ext cx="2100219" cy="370230"/>
          </a:xfrm>
          <a:prstGeom prst="roundRect">
            <a:avLst/>
          </a:prstGeom>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A5E755A-019E-4964-9588-01105D86408B}" type="TxLink">
              <a:rPr lang="en-US" sz="1600" b="1" i="0" u="none" strike="noStrike">
                <a:solidFill>
                  <a:schemeClr val="bg1"/>
                </a:solidFill>
                <a:latin typeface="Aptos Narrow"/>
              </a:rPr>
              <a:pPr algn="ctr"/>
              <a:t>Rp726.056.553</a:t>
            </a:fld>
            <a:endParaRPr lang="en-ID" sz="1800" b="1" i="0" u="none" strike="noStrike">
              <a:solidFill>
                <a:schemeClr val="bg1"/>
              </a:solidFill>
              <a:latin typeface="Aptos Narrow"/>
            </a:endParaRPr>
          </a:p>
        </xdr:txBody>
      </xdr:sp>
    </xdr:grpSp>
    <xdr:clientData/>
  </xdr:twoCellAnchor>
  <xdr:twoCellAnchor>
    <xdr:from>
      <xdr:col>5</xdr:col>
      <xdr:colOff>666748</xdr:colOff>
      <xdr:row>9</xdr:row>
      <xdr:rowOff>35718</xdr:rowOff>
    </xdr:from>
    <xdr:to>
      <xdr:col>12</xdr:col>
      <xdr:colOff>547686</xdr:colOff>
      <xdr:row>25</xdr:row>
      <xdr:rowOff>202405</xdr:rowOff>
    </xdr:to>
    <xdr:graphicFrame macro="">
      <xdr:nvGraphicFramePr>
        <xdr:cNvPr id="6" name="Chart 5">
          <a:extLst>
            <a:ext uri="{FF2B5EF4-FFF2-40B4-BE49-F238E27FC236}">
              <a16:creationId xmlns:a16="http://schemas.microsoft.com/office/drawing/2014/main" id="{366EBFD4-5323-46ED-9CC9-BEEB6FB1B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681038</xdr:colOff>
      <xdr:row>9</xdr:row>
      <xdr:rowOff>40482</xdr:rowOff>
    </xdr:from>
    <xdr:to>
      <xdr:col>5</xdr:col>
      <xdr:colOff>583407</xdr:colOff>
      <xdr:row>25</xdr:row>
      <xdr:rowOff>190500</xdr:rowOff>
    </xdr:to>
    <xdr:graphicFrame macro="">
      <xdr:nvGraphicFramePr>
        <xdr:cNvPr id="7" name="Chart 6">
          <a:extLst>
            <a:ext uri="{FF2B5EF4-FFF2-40B4-BE49-F238E27FC236}">
              <a16:creationId xmlns:a16="http://schemas.microsoft.com/office/drawing/2014/main" id="{478EFCDA-C60C-4051-8DF2-1B5C7FD5FE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773.83320173611" createdVersion="8" refreshedVersion="8" minRefreshableVersion="3" recordCount="7" xr:uid="{F881DD58-FB8B-4043-8240-28A7A8ADD3B7}">
  <cacheSource type="worksheet">
    <worksheetSource ref="D6:I13" sheet="Order Summary"/>
  </cacheSource>
  <cacheFields count="6">
    <cacheField name="Product" numFmtId="0">
      <sharedItems containsBlank="1" count="15">
        <s v="Fading Light"/>
        <s v="Iron Sky"/>
        <s v="Frostfire"/>
        <s v="Crimson"/>
        <s v="The Nexus"/>
        <s v=""/>
        <s v="Blackthron" u="1"/>
        <s v="Silent Echo" u="1"/>
        <s v="Wanderlust" u="1"/>
        <s v="Lost Horizon" u="1"/>
        <s v="Silver Veil" u="1"/>
        <s v="The Hollow" u="1"/>
        <s v="Broker" u="1"/>
        <s v="Shattered" u="1"/>
        <m u="1"/>
      </sharedItems>
    </cacheField>
    <cacheField name="Quantity" numFmtId="0">
      <sharedItems containsMixedTypes="1" containsNumber="1" containsInteger="1" minValue="2" maxValue="4"/>
    </cacheField>
    <cacheField name="Vendor" numFmtId="0">
      <sharedItems/>
    </cacheField>
    <cacheField name="Total Cost" numFmtId="1">
      <sharedItems containsMixedTypes="1" containsNumber="1" containsInteger="1" minValue="1964690" maxValue="5758348"/>
    </cacheField>
    <cacheField name="Contact" numFmtId="0">
      <sharedItems/>
    </cacheField>
    <cacheField name="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novo" refreshedDate="45773.83320277778" createdVersion="8" refreshedVersion="8" minRefreshableVersion="3" recordCount="14" xr:uid="{9A203A2C-D933-4593-A08C-806C8077296A}">
  <cacheSource type="worksheet">
    <worksheetSource name="Inventory"/>
  </cacheSource>
  <cacheFields count="10">
    <cacheField name="Product ID" numFmtId="0">
      <sharedItems containsSemiMixedTypes="0" containsString="0" containsNumber="1" containsInteger="1" minValue="101" maxValue="118"/>
    </cacheField>
    <cacheField name="Product" numFmtId="0">
      <sharedItems containsBlank="1" count="16">
        <s v="Fading Light"/>
        <s v="Silent Echo"/>
        <s v="Iron Sky"/>
        <s v="Wanderlust"/>
        <s v="Lost Horizon"/>
        <s v="Silver Veil"/>
        <s v="The Hollow"/>
        <s v="Broker"/>
        <s v="Frostfire"/>
        <s v="The Tide"/>
        <s v="Crimson"/>
        <s v="Shattered"/>
        <s v="Blackthron"/>
        <s v="The Nexus"/>
        <m u="1"/>
        <e v="#N/A" u="1"/>
      </sharedItems>
    </cacheField>
    <cacheField name="Quantity in _x000a_Stock" numFmtId="0">
      <sharedItems containsSemiMixedTypes="0" containsString="0" containsNumber="1" containsInteger="1" minValue="1" maxValue="24"/>
    </cacheField>
    <cacheField name="Cost per Unit" numFmtId="166">
      <sharedItems containsSemiMixedTypes="0" containsString="0" containsNumber="1" containsInteger="1" minValue="823109" maxValue="4210823"/>
    </cacheField>
    <cacheField name="Sale Price _x000a_per Unit" numFmtId="3">
      <sharedItems containsSemiMixedTypes="0" containsString="0" containsNumber="1" containsInteger="1" minValue="2469327" maxValue="12632469"/>
    </cacheField>
    <cacheField name="Total Value" numFmtId="166">
      <sharedItems containsSemiMixedTypes="0" containsString="0" containsNumber="1" containsInteger="1" minValue="3705429" maxValue="138957159"/>
    </cacheField>
    <cacheField name="Reorder_x000a_Threshold" numFmtId="0">
      <sharedItems containsSemiMixedTypes="0" containsString="0" containsNumber="1" containsInteger="1" minValue="2" maxValue="8"/>
    </cacheField>
    <cacheField name="Reorder?" numFmtId="0">
      <sharedItems containsBlank="1" count="3">
        <s v="Yes"/>
        <s v="No"/>
        <m u="1"/>
      </sharedItems>
    </cacheField>
    <cacheField name="ETA" numFmtId="14">
      <sharedItems containsDate="1" containsMixedTypes="1" minDate="2025-05-03T00:00:00" maxDate="2025-06-26T00:00:00"/>
    </cacheField>
    <cacheField name="Notes" numFmtId="0">
      <sharedItems/>
    </cacheField>
  </cacheFields>
  <extLst>
    <ext xmlns:x14="http://schemas.microsoft.com/office/spreadsheetml/2009/9/main" uri="{725AE2AE-9491-48be-B2B4-4EB974FC3084}">
      <x14:pivotCacheDefinition pivotCacheId="18232809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2"/>
    <s v="Starlight Publishing"/>
    <n v="1964690"/>
    <s v="Josh Smith"/>
    <s v="josh.smith@gmail.com"/>
  </r>
  <r>
    <x v="1"/>
    <n v="4"/>
    <s v="EchoBay Press"/>
    <n v="5758348"/>
    <s v="Mikel Artena"/>
    <s v="mikel.artena@gmail.com"/>
  </r>
  <r>
    <x v="2"/>
    <n v="4"/>
    <s v="EchoBay Press"/>
    <n v="3300096"/>
    <s v="Mikel Artena"/>
    <s v="mikel.artena@gmail.com"/>
  </r>
  <r>
    <x v="3"/>
    <n v="4"/>
    <s v="Phoenix Publishers"/>
    <n v="3360084"/>
    <s v="Miriam Adelson"/>
    <s v="miriam.adelson@gmail.com"/>
  </r>
  <r>
    <x v="4"/>
    <n v="4"/>
    <s v="Nexus Literary"/>
    <n v="4940572"/>
    <s v="Jim Simons"/>
    <s v="jim.simons@gmail.com"/>
  </r>
  <r>
    <x v="5"/>
    <s v=""/>
    <s v=""/>
    <s v=""/>
    <s v=""/>
    <s v=""/>
  </r>
  <r>
    <x v="5"/>
    <s v=""/>
    <s v=""/>
    <s v=""/>
    <s v=""/>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01"/>
    <x v="0"/>
    <n v="3"/>
    <n v="982345"/>
    <n v="2947035"/>
    <n v="8841105"/>
    <n v="4"/>
    <x v="0"/>
    <d v="2025-05-03T00:00:00"/>
    <s v="Restock needed"/>
  </r>
  <r>
    <n v="102"/>
    <x v="1"/>
    <n v="12"/>
    <n v="823109"/>
    <n v="2469327"/>
    <n v="29631924"/>
    <n v="6"/>
    <x v="1"/>
    <s v=""/>
    <s v="Stock is safe"/>
  </r>
  <r>
    <n v="103"/>
    <x v="2"/>
    <n v="4"/>
    <n v="1439587"/>
    <n v="4318761"/>
    <n v="17275044"/>
    <n v="7"/>
    <x v="0"/>
    <d v="2025-05-26T00:00:00"/>
    <s v="Restock needed"/>
  </r>
  <r>
    <n v="104"/>
    <x v="3"/>
    <n v="22"/>
    <n v="920391"/>
    <n v="2761173"/>
    <n v="60745806"/>
    <n v="2"/>
    <x v="1"/>
    <s v=""/>
    <s v="Stock is safe"/>
  </r>
  <r>
    <n v="105"/>
    <x v="4"/>
    <n v="7"/>
    <n v="1720139"/>
    <n v="5160417"/>
    <n v="36122919"/>
    <n v="3"/>
    <x v="1"/>
    <s v=""/>
    <s v="Stock is safe"/>
  </r>
  <r>
    <n v="106"/>
    <x v="5"/>
    <n v="19"/>
    <n v="2047238"/>
    <n v="6141714"/>
    <n v="116692566"/>
    <n v="5"/>
    <x v="1"/>
    <s v=""/>
    <s v="Stock is safe"/>
  </r>
  <r>
    <n v="108"/>
    <x v="6"/>
    <n v="21"/>
    <n v="1428844"/>
    <n v="4286532"/>
    <n v="90017172"/>
    <n v="8"/>
    <x v="1"/>
    <s v=""/>
    <s v="Stock is safe"/>
  </r>
  <r>
    <n v="109"/>
    <x v="7"/>
    <n v="24"/>
    <n v="1883525"/>
    <n v="5650575"/>
    <n v="135613800"/>
    <n v="4"/>
    <x v="1"/>
    <s v=""/>
    <s v="Stock is safe"/>
  </r>
  <r>
    <n v="110"/>
    <x v="8"/>
    <n v="5"/>
    <n v="825024"/>
    <n v="2475072"/>
    <n v="12375360"/>
    <n v="8"/>
    <x v="0"/>
    <d v="2025-05-26T00:00:00"/>
    <s v="Restock needed"/>
  </r>
  <r>
    <n v="111"/>
    <x v="9"/>
    <n v="5"/>
    <n v="832590"/>
    <n v="2497770"/>
    <n v="12488850"/>
    <n v="2"/>
    <x v="1"/>
    <s v=""/>
    <s v="Stock is safe"/>
  </r>
  <r>
    <n v="112"/>
    <x v="10"/>
    <n v="5"/>
    <n v="840021"/>
    <n v="2520063"/>
    <n v="12600315"/>
    <n v="8"/>
    <x v="0"/>
    <d v="2025-06-25T00:00:00"/>
    <s v="Restock needed"/>
  </r>
  <r>
    <n v="113"/>
    <x v="11"/>
    <n v="8"/>
    <n v="2124546"/>
    <n v="6373638"/>
    <n v="50989104"/>
    <n v="7"/>
    <x v="1"/>
    <s v=""/>
    <s v="Stock is safe"/>
  </r>
  <r>
    <n v="116"/>
    <x v="12"/>
    <n v="11"/>
    <n v="4210823"/>
    <n v="12632469"/>
    <n v="138957159"/>
    <n v="2"/>
    <x v="1"/>
    <s v=""/>
    <s v="Stock is safe"/>
  </r>
  <r>
    <n v="118"/>
    <x v="13"/>
    <n v="1"/>
    <n v="1235143"/>
    <n v="3705429"/>
    <n v="3705429"/>
    <n v="2"/>
    <x v="0"/>
    <d v="2025-05-26T00:00:00"/>
    <s v="Restock need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D82022-7EEF-4F7D-9F3B-177967C4F665}" name="PivotTable1" cacheId="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B2:E18" firstHeaderRow="1" firstDataRow="2" firstDataCol="1"/>
  <pivotFields count="10">
    <pivotField showAll="0"/>
    <pivotField axis="axisRow" showAll="0">
      <items count="17">
        <item x="12"/>
        <item x="7"/>
        <item x="10"/>
        <item x="0"/>
        <item x="8"/>
        <item x="2"/>
        <item x="4"/>
        <item x="11"/>
        <item x="1"/>
        <item x="5"/>
        <item x="6"/>
        <item x="13"/>
        <item x="9"/>
        <item x="3"/>
        <item m="1" x="15"/>
        <item m="1" x="14"/>
        <item t="default"/>
      </items>
    </pivotField>
    <pivotField dataField="1" showAll="0"/>
    <pivotField numFmtId="166" showAll="0"/>
    <pivotField numFmtId="3" showAll="0"/>
    <pivotField numFmtId="166" showAll="0"/>
    <pivotField showAll="0"/>
    <pivotField axis="axisCol" showAll="0">
      <items count="4">
        <item n="Stock is Safe" x="1"/>
        <item n="Restock Needed" x="0"/>
        <item m="1" x="2"/>
        <item t="default"/>
      </items>
    </pivotField>
    <pivotField showAll="0"/>
    <pivotField showAll="0"/>
  </pivotFields>
  <rowFields count="1">
    <field x="1"/>
  </rowFields>
  <rowItems count="15">
    <i>
      <x/>
    </i>
    <i>
      <x v="1"/>
    </i>
    <i>
      <x v="2"/>
    </i>
    <i>
      <x v="3"/>
    </i>
    <i>
      <x v="4"/>
    </i>
    <i>
      <x v="5"/>
    </i>
    <i>
      <x v="6"/>
    </i>
    <i>
      <x v="7"/>
    </i>
    <i>
      <x v="8"/>
    </i>
    <i>
      <x v="9"/>
    </i>
    <i>
      <x v="10"/>
    </i>
    <i>
      <x v="11"/>
    </i>
    <i>
      <x v="12"/>
    </i>
    <i>
      <x v="13"/>
    </i>
    <i t="grand">
      <x/>
    </i>
  </rowItems>
  <colFields count="1">
    <field x="7"/>
  </colFields>
  <colItems count="3">
    <i>
      <x/>
    </i>
    <i>
      <x v="1"/>
    </i>
    <i t="grand">
      <x/>
    </i>
  </colItems>
  <dataFields count="1">
    <dataField name="Sum of Quantity in _x000a_Stock" fld="2" baseField="0" baseItem="0"/>
  </dataFields>
  <formats count="1">
    <format dxfId="0">
      <pivotArea dataOnly="0" labelOnly="1" fieldPosition="0">
        <references count="1">
          <reference field="1" count="1">
            <x v="0"/>
          </reference>
        </references>
      </pivotArea>
    </format>
  </formats>
  <chartFormats count="6">
    <chartFormat chart="10" format="0" series="1">
      <pivotArea type="data" outline="0" fieldPosition="0">
        <references count="2">
          <reference field="4294967294" count="1" selected="0">
            <x v="0"/>
          </reference>
          <reference field="7" count="1" selected="0">
            <x v="0"/>
          </reference>
        </references>
      </pivotArea>
    </chartFormat>
    <chartFormat chart="10" format="1" series="1">
      <pivotArea type="data" outline="0" fieldPosition="0">
        <references count="2">
          <reference field="4294967294" count="1" selected="0">
            <x v="0"/>
          </reference>
          <reference field="7" count="1" selected="0">
            <x v="1"/>
          </reference>
        </references>
      </pivotArea>
    </chartFormat>
    <chartFormat chart="23" format="0" series="1">
      <pivotArea type="data" outline="0" fieldPosition="0">
        <references count="2">
          <reference field="4294967294" count="1" selected="0">
            <x v="0"/>
          </reference>
          <reference field="7" count="1" selected="0">
            <x v="0"/>
          </reference>
        </references>
      </pivotArea>
    </chartFormat>
    <chartFormat chart="23" format="1" series="1">
      <pivotArea type="data" outline="0" fieldPosition="0">
        <references count="2">
          <reference field="4294967294" count="1" selected="0">
            <x v="0"/>
          </reference>
          <reference field="7" count="1" selected="0">
            <x v="1"/>
          </reference>
        </references>
      </pivotArea>
    </chartFormat>
    <chartFormat chart="28" format="4" series="1">
      <pivotArea type="data" outline="0" fieldPosition="0">
        <references count="2">
          <reference field="4294967294" count="1" selected="0">
            <x v="0"/>
          </reference>
          <reference field="7" count="1" selected="0">
            <x v="0"/>
          </reference>
        </references>
      </pivotArea>
    </chartFormat>
    <chartFormat chart="28" format="5" series="1">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C7C098-E86E-4D7C-96B4-B8B5DFCE8E12}" name="PivotTable16" cacheId="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B20:C35" firstHeaderRow="1" firstDataRow="1" firstDataCol="1"/>
  <pivotFields count="10">
    <pivotField showAll="0"/>
    <pivotField axis="axisRow" showAll="0">
      <items count="17">
        <item x="12"/>
        <item x="7"/>
        <item x="10"/>
        <item x="0"/>
        <item x="8"/>
        <item x="2"/>
        <item x="4"/>
        <item x="11"/>
        <item x="1"/>
        <item x="5"/>
        <item x="6"/>
        <item x="13"/>
        <item x="9"/>
        <item x="3"/>
        <item m="1" x="15"/>
        <item m="1" x="14"/>
        <item t="default"/>
      </items>
    </pivotField>
    <pivotField showAll="0"/>
    <pivotField numFmtId="4" showAll="0"/>
    <pivotField numFmtId="4" showAll="0"/>
    <pivotField dataField="1" numFmtId="4" showAll="0"/>
    <pivotField showAll="0"/>
    <pivotField showAll="0">
      <items count="4">
        <item x="1"/>
        <item x="0"/>
        <item m="1" x="2"/>
        <item t="default"/>
      </items>
    </pivotField>
    <pivotField showAll="0"/>
    <pivotField showAll="0"/>
  </pivotFields>
  <rowFields count="1">
    <field x="1"/>
  </rowFields>
  <rowItems count="15">
    <i>
      <x/>
    </i>
    <i>
      <x v="1"/>
    </i>
    <i>
      <x v="2"/>
    </i>
    <i>
      <x v="3"/>
    </i>
    <i>
      <x v="4"/>
    </i>
    <i>
      <x v="5"/>
    </i>
    <i>
      <x v="6"/>
    </i>
    <i>
      <x v="7"/>
    </i>
    <i>
      <x v="8"/>
    </i>
    <i>
      <x v="9"/>
    </i>
    <i>
      <x v="10"/>
    </i>
    <i>
      <x v="11"/>
    </i>
    <i>
      <x v="12"/>
    </i>
    <i>
      <x v="13"/>
    </i>
    <i t="grand">
      <x/>
    </i>
  </rowItems>
  <colItems count="1">
    <i/>
  </colItems>
  <dataFields count="1">
    <dataField name="Sum of Total Value" fld="5" baseField="0" baseItem="0" numFmtId="168"/>
  </dataFields>
  <formats count="16">
    <format dxfId="16">
      <pivotArea outline="0" collapsedLevelsAreSubtotals="1" fieldPosition="0"/>
    </format>
    <format dxfId="15">
      <pivotArea collapsedLevelsAreSubtotals="1" fieldPosition="0">
        <references count="1">
          <reference field="1" count="1">
            <x v="0"/>
          </reference>
        </references>
      </pivotArea>
    </format>
    <format dxfId="14">
      <pivotArea collapsedLevelsAreSubtotals="1" fieldPosition="0">
        <references count="1">
          <reference field="1" count="1">
            <x v="1"/>
          </reference>
        </references>
      </pivotArea>
    </format>
    <format dxfId="13">
      <pivotArea collapsedLevelsAreSubtotals="1" fieldPosition="0">
        <references count="1">
          <reference field="1" count="1">
            <x v="2"/>
          </reference>
        </references>
      </pivotArea>
    </format>
    <format dxfId="12">
      <pivotArea collapsedLevelsAreSubtotals="1" fieldPosition="0">
        <references count="1">
          <reference field="1" count="1">
            <x v="3"/>
          </reference>
        </references>
      </pivotArea>
    </format>
    <format dxfId="11">
      <pivotArea collapsedLevelsAreSubtotals="1" fieldPosition="0">
        <references count="1">
          <reference field="1" count="1">
            <x v="4"/>
          </reference>
        </references>
      </pivotArea>
    </format>
    <format dxfId="10">
      <pivotArea collapsedLevelsAreSubtotals="1" fieldPosition="0">
        <references count="1">
          <reference field="1" count="1">
            <x v="5"/>
          </reference>
        </references>
      </pivotArea>
    </format>
    <format dxfId="9">
      <pivotArea collapsedLevelsAreSubtotals="1" fieldPosition="0">
        <references count="1">
          <reference field="1" count="1">
            <x v="6"/>
          </reference>
        </references>
      </pivotArea>
    </format>
    <format dxfId="8">
      <pivotArea collapsedLevelsAreSubtotals="1" fieldPosition="0">
        <references count="1">
          <reference field="1" count="1">
            <x v="7"/>
          </reference>
        </references>
      </pivotArea>
    </format>
    <format dxfId="7">
      <pivotArea collapsedLevelsAreSubtotals="1" fieldPosition="0">
        <references count="1">
          <reference field="1" count="1">
            <x v="8"/>
          </reference>
        </references>
      </pivotArea>
    </format>
    <format dxfId="6">
      <pivotArea collapsedLevelsAreSubtotals="1" fieldPosition="0">
        <references count="1">
          <reference field="1" count="1">
            <x v="9"/>
          </reference>
        </references>
      </pivotArea>
    </format>
    <format dxfId="5">
      <pivotArea collapsedLevelsAreSubtotals="1" fieldPosition="0">
        <references count="1">
          <reference field="1" count="1">
            <x v="10"/>
          </reference>
        </references>
      </pivotArea>
    </format>
    <format dxfId="4">
      <pivotArea collapsedLevelsAreSubtotals="1" fieldPosition="0">
        <references count="1">
          <reference field="1" count="1">
            <x v="11"/>
          </reference>
        </references>
      </pivotArea>
    </format>
    <format dxfId="3">
      <pivotArea collapsedLevelsAreSubtotals="1" fieldPosition="0">
        <references count="1">
          <reference field="1" count="1">
            <x v="12"/>
          </reference>
        </references>
      </pivotArea>
    </format>
    <format dxfId="2">
      <pivotArea collapsedLevelsAreSubtotals="1" fieldPosition="0">
        <references count="1">
          <reference field="1" count="1">
            <x v="13"/>
          </reference>
        </references>
      </pivotArea>
    </format>
    <format dxfId="1">
      <pivotArea grandRow="1" outline="0" collapsedLevelsAreSubtotals="1" fieldPosition="0"/>
    </format>
  </formats>
  <chartFormats count="5">
    <chartFormat chart="25"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8" format="3">
      <pivotArea type="data" outline="0" fieldPosition="0">
        <references count="2">
          <reference field="4294967294" count="1" selected="0">
            <x v="0"/>
          </reference>
          <reference field="1" count="1" selected="0">
            <x v="13"/>
          </reference>
        </references>
      </pivotArea>
    </chartFormat>
    <chartFormat chart="35" format="0"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ED2C8E-2DB2-4B66-A966-D4389CCEDCD2}" name="PivotTable2" cacheId="9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G2:H9" firstHeaderRow="1" firstDataRow="1" firstDataCol="1"/>
  <pivotFields count="6">
    <pivotField axis="axisRow" showAll="0">
      <items count="16">
        <item x="5"/>
        <item x="3"/>
        <item x="2"/>
        <item x="1"/>
        <item m="1" x="13"/>
        <item m="1" x="7"/>
        <item m="1" x="10"/>
        <item m="1" x="11"/>
        <item m="1" x="14"/>
        <item x="0"/>
        <item m="1" x="9"/>
        <item m="1" x="12"/>
        <item m="1" x="8"/>
        <item x="4"/>
        <item m="1" x="6"/>
        <item t="default"/>
      </items>
    </pivotField>
    <pivotField showAll="0"/>
    <pivotField showAll="0"/>
    <pivotField dataField="1" showAll="0"/>
    <pivotField showAll="0"/>
    <pivotField showAll="0"/>
  </pivotFields>
  <rowFields count="1">
    <field x="0"/>
  </rowFields>
  <rowItems count="7">
    <i>
      <x/>
    </i>
    <i>
      <x v="1"/>
    </i>
    <i>
      <x v="2"/>
    </i>
    <i>
      <x v="3"/>
    </i>
    <i>
      <x v="9"/>
    </i>
    <i>
      <x v="13"/>
    </i>
    <i t="grand">
      <x/>
    </i>
  </rowItems>
  <colItems count="1">
    <i/>
  </colItems>
  <dataFields count="1">
    <dataField name="Sum of Total Cost" fld="3" baseField="0" baseItem="0" numFmtId="8"/>
  </dataFields>
  <formats count="5">
    <format dxfId="21">
      <pivotArea dataOnly="0" labelOnly="1" outline="0" axis="axisValues" fieldPosition="0"/>
    </format>
    <format dxfId="20">
      <pivotArea outline="0" collapsedLevelsAreSubtotals="1" fieldPosition="0"/>
    </format>
    <format dxfId="19">
      <pivotArea collapsedLevelsAreSubtotals="1" fieldPosition="0">
        <references count="1">
          <reference field="0" count="1">
            <x v="0"/>
          </reference>
        </references>
      </pivotArea>
    </format>
    <format dxfId="18">
      <pivotArea collapsedLevelsAreSubtotals="1" fieldPosition="0">
        <references count="1">
          <reference field="0" count="5">
            <x v="1"/>
            <x v="2"/>
            <x v="3"/>
            <x v="9"/>
            <x v="13"/>
          </reference>
        </references>
      </pivotArea>
    </format>
    <format dxfId="17">
      <pivotArea grandRow="1" outline="0" collapsedLevelsAreSubtotals="1" fieldPosition="0"/>
    </format>
  </formats>
  <chartFormats count="11">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0" count="1" selected="0">
            <x v="0"/>
          </reference>
        </references>
      </pivotArea>
    </chartFormat>
    <chartFormat chart="6" format="4">
      <pivotArea type="data" outline="0" fieldPosition="0">
        <references count="2">
          <reference field="4294967294" count="1" selected="0">
            <x v="0"/>
          </reference>
          <reference field="0" count="1" selected="0">
            <x v="11"/>
          </reference>
        </references>
      </pivotArea>
    </chartFormat>
    <chartFormat chart="6" format="4">
      <pivotArea type="data" outline="0" fieldPosition="0">
        <references count="2">
          <reference field="4294967294" count="1" selected="0">
            <x v="0"/>
          </reference>
          <reference field="0" count="1" selected="0">
            <x v="13"/>
          </reference>
        </references>
      </pivotArea>
    </chartFormat>
    <chartFormat chart="6" format="5">
      <pivotArea type="data" outline="0" fieldPosition="0">
        <references count="2">
          <reference field="4294967294" count="1" selected="0">
            <x v="0"/>
          </reference>
          <reference field="0" count="1" selected="0">
            <x v="9"/>
          </reference>
        </references>
      </pivotArea>
    </chartFormat>
    <chartFormat chart="6" format="6">
      <pivotArea type="data" outline="0" fieldPosition="0">
        <references count="2">
          <reference field="4294967294" count="1" selected="0">
            <x v="0"/>
          </reference>
          <reference field="0" count="1" selected="0">
            <x v="3"/>
          </reference>
        </references>
      </pivotArea>
    </chartFormat>
    <chartFormat chart="6" format="7">
      <pivotArea type="data" outline="0" fieldPosition="0">
        <references count="2">
          <reference field="4294967294" count="1" selected="0">
            <x v="0"/>
          </reference>
          <reference field="0" count="1" selected="0">
            <x v="2"/>
          </reference>
        </references>
      </pivotArea>
    </chartFormat>
    <chartFormat chart="6" format="8">
      <pivotArea type="data" outline="0" fieldPosition="0">
        <references count="2">
          <reference field="4294967294" count="1" selected="0">
            <x v="0"/>
          </reference>
          <reference field="0" count="1" selected="0">
            <x v="1"/>
          </reference>
        </references>
      </pivotArea>
    </chartFormat>
    <chartFormat chart="30" format="0"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33" format="3">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order?" xr10:uid="{E79B0E48-03EE-4CEB-AFDC-AD76E646C1E0}" sourceName="Reorder?">
  <pivotTables>
    <pivotTable tabId="10" name="PivotTable16"/>
    <pivotTable tabId="10" name="PivotTable1"/>
  </pivotTables>
  <data>
    <tabular pivotCacheId="1823280991">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order?" xr10:uid="{771C11AA-2BE6-433E-941C-30F067CDB23B}" cache="Slicer_Reorder?" caption="Reorder?" style="SlicerStyleLight1 2"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8AFF3D1-D4AB-4723-8CE6-D57F89A28943}" name="Inventory" displayName="Inventory" ref="C7:L21" totalsRowShown="0" headerRowDxfId="39" dataDxfId="38">
  <autoFilter ref="C7:L21" xr:uid="{98AFF3D1-D4AB-4723-8CE6-D57F89A289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27BDB611-63E7-4DAA-A83D-1E38414B82C0}" name="Product ID" dataDxfId="37"/>
    <tableColumn id="2" xr3:uid="{98761A4A-A8A1-417D-A381-6B272F1DCD45}" name="Product" dataDxfId="36">
      <calculatedColumnFormula>INDEX(Vendor[#All],MATCH(Inventory!$C8,Vendor[[#All],[ID]],0),MATCH(Inventory[[#Headers],[Product]],Vendor[#Headers],0))</calculatedColumnFormula>
    </tableColumn>
    <tableColumn id="3" xr3:uid="{C4637F5F-C4E5-4F56-B514-F41D542F99FD}" name="Quantity in _x000a_Stock" dataDxfId="35"/>
    <tableColumn id="4" xr3:uid="{3AD7D1F1-CD4C-439E-B3AD-7023F2C3192A}" name="Cost per Unit" dataDxfId="34"/>
    <tableColumn id="5" xr3:uid="{6E394D96-5EEB-47B5-B940-3BAC51F630FC}" name="Sale Price _x000a_per Unit" dataDxfId="33">
      <calculatedColumnFormula>F8*3</calculatedColumnFormula>
    </tableColumn>
    <tableColumn id="6" xr3:uid="{06C2BEF9-C0E0-4B0B-9501-7E4415109A63}" name="Total Value" dataDxfId="32">
      <calculatedColumnFormula>G8*E8</calculatedColumnFormula>
    </tableColumn>
    <tableColumn id="7" xr3:uid="{5AD85CFC-1181-473B-BC42-9AE2E0588114}" name="Reorder_x000a_Threshold" dataDxfId="31"/>
    <tableColumn id="8" xr3:uid="{FB0DC239-1D9D-47FA-820E-824ADF77D684}" name="Reorder?" dataDxfId="30">
      <calculatedColumnFormula>IF(E8&lt;=I8,"Yes","No")</calculatedColumnFormula>
    </tableColumn>
    <tableColumn id="9" xr3:uid="{0209770A-DDC6-4C2C-A3CF-AACFC0F33D37}" name="ETA" dataDxfId="29">
      <calculatedColumnFormula>IF(J8="Yes",$G$4+_xlfn.XLOOKUP(C8,Vendor[ID],Vendor[Typical 
Order Time]),"")</calculatedColumnFormula>
    </tableColumn>
    <tableColumn id="10" xr3:uid="{6E0DB75E-4246-49BC-BEEB-E3026301A86C}" name="Notes" dataDxfId="28">
      <calculatedColumnFormula>IF(J8="Yes","Restock needed","Stock is safe")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07CF59-C268-416E-B003-77842627DFAB}" name="Vendor" displayName="Vendor" ref="C4:K24" totalsRowShown="0" headerRowDxfId="27">
  <autoFilter ref="C4:K24" xr:uid="{4907CF59-C268-416E-B003-77842627DFA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F0EA7D51-30F9-402C-BB32-EDDED6A83AAB}" name="ID" dataDxfId="26">
      <calculatedColumnFormula>C4+1</calculatedColumnFormula>
    </tableColumn>
    <tableColumn id="2" xr3:uid="{3885C448-2EBB-4F0E-9AF3-42657412F3C5}" name="Product"/>
    <tableColumn id="3" xr3:uid="{CDB85A0F-CC2C-44D3-A9E7-C751C422707C}" name="Description"/>
    <tableColumn id="4" xr3:uid="{2BD6F6BA-0188-42EE-A430-EBB149B686FA}" name="Vendor"/>
    <tableColumn id="5" xr3:uid="{C5315CF7-3000-42D8-85A5-8D3C4F779BC5}" name="Typical _x000a_Order Time" dataDxfId="25"/>
    <tableColumn id="6" xr3:uid="{D505815E-CA8E-44BA-A879-4B94F6E6B806}" name="Reorder" dataDxfId="24"/>
    <tableColumn id="7" xr3:uid="{F6F0AD15-1EB1-4E05-9737-700C9633AA9B}" name="Contact Name"/>
    <tableColumn id="8" xr3:uid="{B96E09BC-E041-412A-A1C9-8A4C46CCFD94}" name="Email Address" dataDxfId="23" dataCellStyle="Hyperlink"/>
    <tableColumn id="9" xr3:uid="{E5BE147D-4753-4DD0-B1D7-25F93FFC6EFE}" name="Website" dataDxfId="2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mikel.artena@gmail.com" TargetMode="External"/><Relationship Id="rId13" Type="http://schemas.openxmlformats.org/officeDocument/2006/relationships/hyperlink" Target="mailto:ken.griffin@gmail.com" TargetMode="External"/><Relationship Id="rId18" Type="http://schemas.openxmlformats.org/officeDocument/2006/relationships/hyperlink" Target="mailto:jim.simons@gmail.com" TargetMode="External"/><Relationship Id="rId3" Type="http://schemas.openxmlformats.org/officeDocument/2006/relationships/hyperlink" Target="mailto:mikel.artena@gmail.com" TargetMode="External"/><Relationship Id="rId21" Type="http://schemas.openxmlformats.org/officeDocument/2006/relationships/drawing" Target="../drawings/drawing2.xml"/><Relationship Id="rId7" Type="http://schemas.openxmlformats.org/officeDocument/2006/relationships/hyperlink" Target="mailto:josh.smith@gmail.com" TargetMode="External"/><Relationship Id="rId12" Type="http://schemas.openxmlformats.org/officeDocument/2006/relationships/hyperlink" Target="mailto:miriam.adelson@gmail.com" TargetMode="External"/><Relationship Id="rId17" Type="http://schemas.openxmlformats.org/officeDocument/2006/relationships/hyperlink" Target="mailto:miriam.adelson@gmail.com" TargetMode="External"/><Relationship Id="rId2" Type="http://schemas.openxmlformats.org/officeDocument/2006/relationships/hyperlink" Target="mailto:mike.dean@gmail.com" TargetMode="External"/><Relationship Id="rId16" Type="http://schemas.openxmlformats.org/officeDocument/2006/relationships/hyperlink" Target="mailto:miriam.adelson@gmail.com" TargetMode="External"/><Relationship Id="rId20" Type="http://schemas.openxmlformats.org/officeDocument/2006/relationships/hyperlink" Target="mailto:jim.simons@gmail.com" TargetMode="External"/><Relationship Id="rId1" Type="http://schemas.openxmlformats.org/officeDocument/2006/relationships/hyperlink" Target="mailto:josh.smith@gmail.com" TargetMode="External"/><Relationship Id="rId6" Type="http://schemas.openxmlformats.org/officeDocument/2006/relationships/hyperlink" Target="mailto:josh.smith@gmail.com" TargetMode="External"/><Relationship Id="rId11" Type="http://schemas.openxmlformats.org/officeDocument/2006/relationships/hyperlink" Target="mailto:arya.janne@gmail.com" TargetMode="External"/><Relationship Id="rId5" Type="http://schemas.openxmlformats.org/officeDocument/2006/relationships/hyperlink" Target="mailto:josh.smith@gmail.com" TargetMode="External"/><Relationship Id="rId15" Type="http://schemas.openxmlformats.org/officeDocument/2006/relationships/hyperlink" Target="mailto:miriam.adelson@gmail.com" TargetMode="External"/><Relationship Id="rId10" Type="http://schemas.openxmlformats.org/officeDocument/2006/relationships/hyperlink" Target="mailto:mikel.artena@gmail.com" TargetMode="External"/><Relationship Id="rId19" Type="http://schemas.openxmlformats.org/officeDocument/2006/relationships/hyperlink" Target="mailto:jeff.yass@gmail.com" TargetMode="External"/><Relationship Id="rId4" Type="http://schemas.openxmlformats.org/officeDocument/2006/relationships/hyperlink" Target="mailto:sam.allargine@gmail.com" TargetMode="External"/><Relationship Id="rId9" Type="http://schemas.openxmlformats.org/officeDocument/2006/relationships/hyperlink" Target="mailto:mikel.artena@gmail.com" TargetMode="External"/><Relationship Id="rId14" Type="http://schemas.openxmlformats.org/officeDocument/2006/relationships/hyperlink" Target="mailto:miriam.adelson@gmail.com" TargetMode="External"/><Relationship Id="rId22"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7B3A3-07D3-1F45-91DB-E7072DE9AAF7}">
  <sheetPr codeName="Sheet1"/>
  <dimension ref="A1:L33"/>
  <sheetViews>
    <sheetView tabSelected="1" topLeftCell="C4" zoomScaleNormal="100" workbookViewId="0">
      <selection activeCell="N7" sqref="N7"/>
    </sheetView>
  </sheetViews>
  <sheetFormatPr defaultColWidth="11.125" defaultRowHeight="15.75" x14ac:dyDescent="0.25"/>
  <cols>
    <col min="1" max="1" width="14.875" style="15" customWidth="1"/>
    <col min="2" max="2" width="4" customWidth="1"/>
    <col min="3" max="3" width="14.375" customWidth="1"/>
    <col min="4" max="4" width="15.625" bestFit="1" customWidth="1"/>
    <col min="5" max="5" width="10" bestFit="1" customWidth="1"/>
    <col min="6" max="6" width="22.875" bestFit="1" customWidth="1"/>
    <col min="7" max="7" width="12.125" bestFit="1" customWidth="1"/>
    <col min="8" max="8" width="15.625" bestFit="1" customWidth="1"/>
    <col min="9" max="9" width="9" bestFit="1" customWidth="1"/>
    <col min="11" max="11" width="13.125" style="12" customWidth="1"/>
    <col min="12" max="12" width="14.625" customWidth="1"/>
  </cols>
  <sheetData>
    <row r="1" spans="3:12" x14ac:dyDescent="0.25">
      <c r="K1"/>
    </row>
    <row r="2" spans="3:12" ht="21" x14ac:dyDescent="0.35">
      <c r="C2" s="14" t="s">
        <v>8</v>
      </c>
      <c r="D2" s="1"/>
      <c r="E2" s="1"/>
      <c r="F2" s="1"/>
      <c r="G2" s="1"/>
      <c r="H2" s="1"/>
      <c r="I2" s="1"/>
      <c r="J2" s="1"/>
      <c r="K2" s="1"/>
    </row>
    <row r="3" spans="3:12" x14ac:dyDescent="0.25">
      <c r="K3"/>
    </row>
    <row r="4" spans="3:12" x14ac:dyDescent="0.25">
      <c r="C4" t="s">
        <v>32</v>
      </c>
      <c r="D4" s="28">
        <f>SUM(Inventory[Total Value])</f>
        <v>726056553</v>
      </c>
      <c r="F4" t="s">
        <v>9</v>
      </c>
      <c r="G4" s="5">
        <f ca="1">TODAY()</f>
        <v>45773</v>
      </c>
      <c r="K4"/>
    </row>
    <row r="5" spans="3:12" x14ac:dyDescent="0.25">
      <c r="C5" t="s">
        <v>31</v>
      </c>
      <c r="D5" s="4">
        <f>COUNT(_xlfn.UNIQUE(Inventory[Product ID]))</f>
        <v>14</v>
      </c>
      <c r="F5" t="s">
        <v>10</v>
      </c>
      <c r="G5" s="4" t="str">
        <f ca="1">TEXT(G4,"dddd")</f>
        <v>Saturday</v>
      </c>
      <c r="K5"/>
    </row>
    <row r="6" spans="3:12" x14ac:dyDescent="0.25">
      <c r="K6"/>
    </row>
    <row r="7" spans="3:12" ht="33" customHeight="1" x14ac:dyDescent="0.25">
      <c r="C7" s="7" t="s">
        <v>15</v>
      </c>
      <c r="D7" s="7" t="s">
        <v>16</v>
      </c>
      <c r="E7" s="8" t="s">
        <v>29</v>
      </c>
      <c r="F7" s="8" t="s">
        <v>89</v>
      </c>
      <c r="G7" s="8" t="s">
        <v>34</v>
      </c>
      <c r="H7" s="7" t="s">
        <v>28</v>
      </c>
      <c r="I7" s="8" t="s">
        <v>30</v>
      </c>
      <c r="J7" s="7" t="s">
        <v>1</v>
      </c>
      <c r="K7" s="7" t="s">
        <v>33</v>
      </c>
      <c r="L7" s="7" t="s">
        <v>90</v>
      </c>
    </row>
    <row r="8" spans="3:12" x14ac:dyDescent="0.25">
      <c r="C8" s="2">
        <v>101</v>
      </c>
      <c r="D8" s="19" t="str">
        <f>INDEX(Vendor[#All],MATCH(Inventory!$C8,Vendor[[#All],[ID]],0),MATCH(Inventory[[#Headers],[Product]],Vendor[#Headers],0))</f>
        <v>Fading Light</v>
      </c>
      <c r="E8" s="2">
        <v>3</v>
      </c>
      <c r="F8" s="25">
        <v>982345</v>
      </c>
      <c r="G8" s="27">
        <f>F8*3</f>
        <v>2947035</v>
      </c>
      <c r="H8" s="25">
        <f t="shared" ref="H8:H21" si="0">G8*E8</f>
        <v>8841105</v>
      </c>
      <c r="I8" s="2">
        <v>4</v>
      </c>
      <c r="J8" s="2" t="str">
        <f t="shared" ref="J8:J20" si="1">IF(E8&lt;=I8,"Yes","No")</f>
        <v>Yes</v>
      </c>
      <c r="K8" s="13">
        <f ca="1">IF(J8="Yes",$G$4+_xlfn.XLOOKUP(C8,Vendor[ID],Vendor[Typical 
Order Time]),"")</f>
        <v>45780</v>
      </c>
      <c r="L8" s="2" t="str">
        <f t="shared" ref="L8:L21" si="2">IF(J8="Yes","Restock needed","Stock is safe")</f>
        <v>Restock needed</v>
      </c>
    </row>
    <row r="9" spans="3:12" x14ac:dyDescent="0.25">
      <c r="C9" s="2">
        <v>102</v>
      </c>
      <c r="D9" s="19" t="str">
        <f>INDEX(Vendor[#All],MATCH(Inventory!$C9,Vendor[[#All],[ID]],0),MATCH(Inventory[[#Headers],[Product]],Vendor[#Headers],0))</f>
        <v>Silent Echo</v>
      </c>
      <c r="E9" s="2">
        <v>12</v>
      </c>
      <c r="F9" s="25">
        <v>823109</v>
      </c>
      <c r="G9" s="27">
        <f t="shared" ref="G9:G21" si="3">F9*3</f>
        <v>2469327</v>
      </c>
      <c r="H9" s="25">
        <f t="shared" si="0"/>
        <v>29631924</v>
      </c>
      <c r="I9" s="2">
        <v>6</v>
      </c>
      <c r="J9" s="2" t="str">
        <f t="shared" si="1"/>
        <v>No</v>
      </c>
      <c r="K9" s="13" t="str">
        <f>IF(J9="Yes",$G$4+_xlfn.XLOOKUP(C9,Vendor[ID],Vendor[Typical 
Order Time]),"")</f>
        <v/>
      </c>
      <c r="L9" s="2" t="str">
        <f t="shared" si="2"/>
        <v>Stock is safe</v>
      </c>
    </row>
    <row r="10" spans="3:12" x14ac:dyDescent="0.25">
      <c r="C10" s="2">
        <v>103</v>
      </c>
      <c r="D10" s="19" t="str">
        <f>INDEX(Vendor[#All],MATCH(Inventory!$C10,Vendor[[#All],[ID]],0),MATCH(Inventory[[#Headers],[Product]],Vendor[#Headers],0))</f>
        <v>Iron Sky</v>
      </c>
      <c r="E10" s="2">
        <v>4</v>
      </c>
      <c r="F10" s="25">
        <v>1439587</v>
      </c>
      <c r="G10" s="27">
        <f t="shared" si="3"/>
        <v>4318761</v>
      </c>
      <c r="H10" s="25">
        <f t="shared" si="0"/>
        <v>17275044</v>
      </c>
      <c r="I10" s="2">
        <v>7</v>
      </c>
      <c r="J10" s="2" t="str">
        <f t="shared" si="1"/>
        <v>Yes</v>
      </c>
      <c r="K10" s="13">
        <f ca="1">IF(J10="Yes",$G$4+_xlfn.XLOOKUP(C10,Vendor[ID],Vendor[Typical 
Order Time]),"")</f>
        <v>45803</v>
      </c>
      <c r="L10" s="2" t="str">
        <f t="shared" si="2"/>
        <v>Restock needed</v>
      </c>
    </row>
    <row r="11" spans="3:12" x14ac:dyDescent="0.25">
      <c r="C11" s="2">
        <v>104</v>
      </c>
      <c r="D11" s="19" t="str">
        <f>INDEX(Vendor[#All],MATCH(Inventory!$C11,Vendor[[#All],[ID]],0),MATCH(Inventory[[#Headers],[Product]],Vendor[#Headers],0))</f>
        <v>Wanderlust</v>
      </c>
      <c r="E11" s="2">
        <v>22</v>
      </c>
      <c r="F11" s="25">
        <v>920391</v>
      </c>
      <c r="G11" s="27">
        <f t="shared" si="3"/>
        <v>2761173</v>
      </c>
      <c r="H11" s="25">
        <f t="shared" si="0"/>
        <v>60745806</v>
      </c>
      <c r="I11" s="2">
        <v>2</v>
      </c>
      <c r="J11" s="2" t="str">
        <f t="shared" si="1"/>
        <v>No</v>
      </c>
      <c r="K11" s="13" t="str">
        <f>IF(J11="Yes",$G$4+_xlfn.XLOOKUP(C11,Vendor[ID],Vendor[Typical 
Order Time]),"")</f>
        <v/>
      </c>
      <c r="L11" s="2" t="str">
        <f t="shared" si="2"/>
        <v>Stock is safe</v>
      </c>
    </row>
    <row r="12" spans="3:12" x14ac:dyDescent="0.25">
      <c r="C12" s="2">
        <v>105</v>
      </c>
      <c r="D12" s="19" t="str">
        <f>INDEX(Vendor[#All],MATCH(Inventory!$C12,Vendor[[#All],[ID]],0),MATCH(Inventory[[#Headers],[Product]],Vendor[#Headers],0))</f>
        <v>Lost Horizon</v>
      </c>
      <c r="E12" s="2">
        <v>7</v>
      </c>
      <c r="F12" s="25">
        <v>1720139</v>
      </c>
      <c r="G12" s="27">
        <f t="shared" si="3"/>
        <v>5160417</v>
      </c>
      <c r="H12" s="25">
        <f t="shared" si="0"/>
        <v>36122919</v>
      </c>
      <c r="I12" s="2">
        <v>3</v>
      </c>
      <c r="J12" s="2" t="str">
        <f t="shared" si="1"/>
        <v>No</v>
      </c>
      <c r="K12" s="13" t="str">
        <f>IF(J12="Yes",$G$4+_xlfn.XLOOKUP(C12,Vendor[ID],Vendor[Typical 
Order Time]),"")</f>
        <v/>
      </c>
      <c r="L12" s="2" t="str">
        <f t="shared" si="2"/>
        <v>Stock is safe</v>
      </c>
    </row>
    <row r="13" spans="3:12" x14ac:dyDescent="0.25">
      <c r="C13" s="2">
        <v>106</v>
      </c>
      <c r="D13" s="19" t="str">
        <f>INDEX(Vendor[#All],MATCH(Inventory!$C13,Vendor[[#All],[ID]],0),MATCH(Inventory[[#Headers],[Product]],Vendor[#Headers],0))</f>
        <v>Silver Veil</v>
      </c>
      <c r="E13" s="2">
        <v>19</v>
      </c>
      <c r="F13" s="25">
        <v>2047238</v>
      </c>
      <c r="G13" s="27">
        <f t="shared" si="3"/>
        <v>6141714</v>
      </c>
      <c r="H13" s="25">
        <f t="shared" si="0"/>
        <v>116692566</v>
      </c>
      <c r="I13" s="2">
        <v>5</v>
      </c>
      <c r="J13" s="2" t="str">
        <f t="shared" si="1"/>
        <v>No</v>
      </c>
      <c r="K13" s="13" t="str">
        <f>IF(J13="Yes",$G$4+_xlfn.XLOOKUP(C13,Vendor[ID],Vendor[Typical 
Order Time]),"")</f>
        <v/>
      </c>
      <c r="L13" s="2" t="str">
        <f t="shared" si="2"/>
        <v>Stock is safe</v>
      </c>
    </row>
    <row r="14" spans="3:12" x14ac:dyDescent="0.25">
      <c r="C14" s="2">
        <v>108</v>
      </c>
      <c r="D14" s="19" t="str">
        <f>INDEX(Vendor[#All],MATCH(Inventory!$C14,Vendor[[#All],[ID]],0),MATCH(Inventory[[#Headers],[Product]],Vendor[#Headers],0))</f>
        <v>The Hollow</v>
      </c>
      <c r="E14" s="2">
        <v>21</v>
      </c>
      <c r="F14" s="25">
        <v>1428844</v>
      </c>
      <c r="G14" s="27">
        <f t="shared" si="3"/>
        <v>4286532</v>
      </c>
      <c r="H14" s="25">
        <f t="shared" si="0"/>
        <v>90017172</v>
      </c>
      <c r="I14" s="2">
        <v>8</v>
      </c>
      <c r="J14" s="2" t="str">
        <f t="shared" si="1"/>
        <v>No</v>
      </c>
      <c r="K14" s="13" t="str">
        <f>IF(J14="Yes",$G$4+_xlfn.XLOOKUP(C14,Vendor[ID],Vendor[Typical 
Order Time]),"")</f>
        <v/>
      </c>
      <c r="L14" s="2" t="str">
        <f t="shared" si="2"/>
        <v>Stock is safe</v>
      </c>
    </row>
    <row r="15" spans="3:12" x14ac:dyDescent="0.25">
      <c r="C15" s="2">
        <v>109</v>
      </c>
      <c r="D15" s="19" t="str">
        <f>INDEX(Vendor[#All],MATCH(Inventory!$C15,Vendor[[#All],[ID]],0),MATCH(Inventory[[#Headers],[Product]],Vendor[#Headers],0))</f>
        <v>Broker</v>
      </c>
      <c r="E15" s="2">
        <v>24</v>
      </c>
      <c r="F15" s="25">
        <v>1883525</v>
      </c>
      <c r="G15" s="27">
        <f t="shared" si="3"/>
        <v>5650575</v>
      </c>
      <c r="H15" s="25">
        <f t="shared" si="0"/>
        <v>135613800</v>
      </c>
      <c r="I15" s="2">
        <v>4</v>
      </c>
      <c r="J15" s="2" t="str">
        <f t="shared" si="1"/>
        <v>No</v>
      </c>
      <c r="K15" s="13" t="str">
        <f>IF(J15="Yes",$G$4+_xlfn.XLOOKUP(C15,Vendor[ID],Vendor[Typical 
Order Time]),"")</f>
        <v/>
      </c>
      <c r="L15" s="2" t="str">
        <f t="shared" si="2"/>
        <v>Stock is safe</v>
      </c>
    </row>
    <row r="16" spans="3:12" x14ac:dyDescent="0.25">
      <c r="C16" s="2">
        <v>110</v>
      </c>
      <c r="D16" s="19" t="str">
        <f>INDEX(Vendor[#All],MATCH(Inventory!$C16,Vendor[[#All],[ID]],0),MATCH(Inventory[[#Headers],[Product]],Vendor[#Headers],0))</f>
        <v>Frostfire</v>
      </c>
      <c r="E16" s="2">
        <v>5</v>
      </c>
      <c r="F16" s="25">
        <v>825024</v>
      </c>
      <c r="G16" s="27">
        <f t="shared" si="3"/>
        <v>2475072</v>
      </c>
      <c r="H16" s="25">
        <f t="shared" si="0"/>
        <v>12375360</v>
      </c>
      <c r="I16" s="2">
        <v>8</v>
      </c>
      <c r="J16" s="2" t="str">
        <f t="shared" si="1"/>
        <v>Yes</v>
      </c>
      <c r="K16" s="13">
        <f ca="1">IF(J16="Yes",$G$4+_xlfn.XLOOKUP(C16,Vendor[ID],Vendor[Typical 
Order Time]),"")</f>
        <v>45803</v>
      </c>
      <c r="L16" s="2" t="str">
        <f t="shared" si="2"/>
        <v>Restock needed</v>
      </c>
    </row>
    <row r="17" spans="3:12" x14ac:dyDescent="0.25">
      <c r="C17" s="2">
        <v>111</v>
      </c>
      <c r="D17" s="19" t="str">
        <f>INDEX(Vendor[#All],MATCH(Inventory!$C17,Vendor[[#All],[ID]],0),MATCH(Inventory[[#Headers],[Product]],Vendor[#Headers],0))</f>
        <v>The Tide</v>
      </c>
      <c r="E17" s="2">
        <v>5</v>
      </c>
      <c r="F17" s="25">
        <v>832590</v>
      </c>
      <c r="G17" s="27">
        <f t="shared" si="3"/>
        <v>2497770</v>
      </c>
      <c r="H17" s="25">
        <f t="shared" si="0"/>
        <v>12488850</v>
      </c>
      <c r="I17" s="2">
        <v>2</v>
      </c>
      <c r="J17" s="2" t="str">
        <f t="shared" si="1"/>
        <v>No</v>
      </c>
      <c r="K17" s="13" t="str">
        <f>IF(J17="Yes",$G$4+_xlfn.XLOOKUP(C17,Vendor[ID],Vendor[Typical 
Order Time]),"")</f>
        <v/>
      </c>
      <c r="L17" s="2" t="str">
        <f t="shared" si="2"/>
        <v>Stock is safe</v>
      </c>
    </row>
    <row r="18" spans="3:12" x14ac:dyDescent="0.25">
      <c r="C18" s="2">
        <v>112</v>
      </c>
      <c r="D18" s="19" t="str">
        <f>INDEX(Vendor[#All],MATCH(Inventory!$C18,Vendor[[#All],[ID]],0),MATCH(Inventory[[#Headers],[Product]],Vendor[#Headers],0))</f>
        <v>Crimson</v>
      </c>
      <c r="E18" s="2">
        <v>5</v>
      </c>
      <c r="F18" s="25">
        <v>840021</v>
      </c>
      <c r="G18" s="27">
        <f t="shared" si="3"/>
        <v>2520063</v>
      </c>
      <c r="H18" s="25">
        <f t="shared" si="0"/>
        <v>12600315</v>
      </c>
      <c r="I18" s="2">
        <v>8</v>
      </c>
      <c r="J18" s="2" t="str">
        <f t="shared" si="1"/>
        <v>Yes</v>
      </c>
      <c r="K18" s="13">
        <f ca="1">IF(J18="Yes",$G$4+_xlfn.XLOOKUP(C18,Vendor[ID],Vendor[Typical 
Order Time]),"")</f>
        <v>45833</v>
      </c>
      <c r="L18" s="2" t="str">
        <f t="shared" si="2"/>
        <v>Restock needed</v>
      </c>
    </row>
    <row r="19" spans="3:12" x14ac:dyDescent="0.25">
      <c r="C19" s="2">
        <v>113</v>
      </c>
      <c r="D19" s="19" t="str">
        <f>INDEX(Vendor[#All],MATCH(Inventory!$C19,Vendor[[#All],[ID]],0),MATCH(Inventory[[#Headers],[Product]],Vendor[#Headers],0))</f>
        <v>Shattered</v>
      </c>
      <c r="E19" s="2">
        <v>8</v>
      </c>
      <c r="F19" s="25">
        <v>2124546</v>
      </c>
      <c r="G19" s="27">
        <f t="shared" si="3"/>
        <v>6373638</v>
      </c>
      <c r="H19" s="25">
        <f t="shared" si="0"/>
        <v>50989104</v>
      </c>
      <c r="I19" s="2">
        <v>7</v>
      </c>
      <c r="J19" s="2" t="str">
        <f t="shared" si="1"/>
        <v>No</v>
      </c>
      <c r="K19" s="13" t="str">
        <f>IF(J19="Yes",$G$4+_xlfn.XLOOKUP(C19,Vendor[ID],Vendor[Typical 
Order Time]),"")</f>
        <v/>
      </c>
      <c r="L19" s="2" t="str">
        <f t="shared" si="2"/>
        <v>Stock is safe</v>
      </c>
    </row>
    <row r="20" spans="3:12" x14ac:dyDescent="0.25">
      <c r="C20" s="2">
        <v>116</v>
      </c>
      <c r="D20" s="19" t="str">
        <f>INDEX(Vendor[#All],MATCH(Inventory!$C20,Vendor[[#All],[ID]],0),MATCH(Inventory[[#Headers],[Product]],Vendor[#Headers],0))</f>
        <v>Blackthron</v>
      </c>
      <c r="E20" s="2">
        <v>11</v>
      </c>
      <c r="F20" s="25">
        <v>4210823</v>
      </c>
      <c r="G20" s="27">
        <f t="shared" si="3"/>
        <v>12632469</v>
      </c>
      <c r="H20" s="25">
        <f t="shared" si="0"/>
        <v>138957159</v>
      </c>
      <c r="I20" s="2">
        <v>2</v>
      </c>
      <c r="J20" s="2" t="str">
        <f t="shared" si="1"/>
        <v>No</v>
      </c>
      <c r="K20" s="13" t="str">
        <f>IF(J20="Yes",$G$4+_xlfn.XLOOKUP(C20,Vendor[ID],Vendor[Typical 
Order Time]),"")</f>
        <v/>
      </c>
      <c r="L20" s="2" t="str">
        <f t="shared" si="2"/>
        <v>Stock is safe</v>
      </c>
    </row>
    <row r="21" spans="3:12" x14ac:dyDescent="0.25">
      <c r="C21" s="2">
        <v>118</v>
      </c>
      <c r="D21" s="19" t="str">
        <f>INDEX(Vendor[#All],MATCH(Inventory!$C21,Vendor[[#All],[ID]],0),MATCH(Inventory[[#Headers],[Product]],Vendor[#Headers],0))</f>
        <v>The Nexus</v>
      </c>
      <c r="E21" s="2">
        <v>1</v>
      </c>
      <c r="F21" s="25">
        <v>1235143</v>
      </c>
      <c r="G21" s="27">
        <f t="shared" si="3"/>
        <v>3705429</v>
      </c>
      <c r="H21" s="25">
        <f t="shared" si="0"/>
        <v>3705429</v>
      </c>
      <c r="I21" s="2">
        <v>2</v>
      </c>
      <c r="J21" s="2" t="str">
        <f>IF(E21&lt;=I21,"Yes","No")</f>
        <v>Yes</v>
      </c>
      <c r="K21" s="13">
        <f ca="1">IF(J21="Yes",$G$4+_xlfn.XLOOKUP(C21,Vendor[ID],Vendor[Typical 
Order Time]),"")</f>
        <v>45803</v>
      </c>
      <c r="L21" s="2" t="str">
        <f t="shared" si="2"/>
        <v>Restock needed</v>
      </c>
    </row>
    <row r="22" spans="3:12" x14ac:dyDescent="0.25">
      <c r="C22" s="2"/>
      <c r="D22" s="2"/>
      <c r="E22" s="2"/>
      <c r="F22" s="25"/>
      <c r="G22" s="3"/>
      <c r="H22" s="26"/>
      <c r="I22" s="2"/>
      <c r="J22" s="2"/>
      <c r="K22" s="13"/>
      <c r="L22" s="2"/>
    </row>
    <row r="23" spans="3:12" x14ac:dyDescent="0.25">
      <c r="C23" s="2"/>
      <c r="D23" s="2"/>
      <c r="E23" s="2"/>
      <c r="F23" s="25"/>
      <c r="G23" s="3"/>
      <c r="H23" s="26"/>
      <c r="I23" s="2"/>
      <c r="J23" s="2"/>
      <c r="K23" s="13"/>
      <c r="L23" s="2"/>
    </row>
    <row r="24" spans="3:12" x14ac:dyDescent="0.25">
      <c r="C24" s="2"/>
      <c r="D24" s="2"/>
      <c r="E24" s="2"/>
      <c r="F24" s="25"/>
      <c r="G24" s="3"/>
      <c r="H24" s="26"/>
      <c r="I24" s="2"/>
      <c r="J24" s="2"/>
      <c r="K24" s="13"/>
      <c r="L24" s="2"/>
    </row>
    <row r="25" spans="3:12" x14ac:dyDescent="0.25">
      <c r="C25" s="2"/>
      <c r="D25" s="2"/>
      <c r="E25" s="2"/>
      <c r="F25" s="25"/>
      <c r="G25" s="3"/>
      <c r="H25" s="26"/>
      <c r="I25" s="2"/>
      <c r="J25" s="2"/>
      <c r="K25" s="13"/>
      <c r="L25" s="2"/>
    </row>
    <row r="26" spans="3:12" x14ac:dyDescent="0.25">
      <c r="C26" s="2"/>
      <c r="D26" s="2"/>
      <c r="E26" s="2"/>
      <c r="F26" s="25"/>
      <c r="G26" s="3"/>
      <c r="H26" s="26"/>
      <c r="I26" s="2"/>
      <c r="J26" s="2"/>
      <c r="K26" s="13"/>
      <c r="L26" s="2"/>
    </row>
    <row r="27" spans="3:12" x14ac:dyDescent="0.25">
      <c r="C27" s="2"/>
      <c r="D27" s="2"/>
      <c r="E27" s="2"/>
      <c r="F27" s="25"/>
      <c r="G27" s="3"/>
      <c r="H27" s="26"/>
      <c r="I27" s="2"/>
      <c r="J27" s="2"/>
      <c r="K27" s="13"/>
      <c r="L27" s="2"/>
    </row>
    <row r="28" spans="3:12" x14ac:dyDescent="0.25">
      <c r="C28" s="2"/>
      <c r="D28" s="2"/>
      <c r="E28" s="2"/>
      <c r="F28" s="25"/>
      <c r="G28" s="3"/>
      <c r="H28" s="26"/>
      <c r="I28" s="2"/>
      <c r="J28" s="2"/>
      <c r="K28" s="13"/>
      <c r="L28" s="2"/>
    </row>
    <row r="29" spans="3:12" x14ac:dyDescent="0.25">
      <c r="C29" s="2"/>
      <c r="D29" s="2"/>
      <c r="E29" s="2"/>
      <c r="F29" s="25"/>
      <c r="G29" s="3"/>
      <c r="H29" s="26"/>
      <c r="I29" s="2"/>
      <c r="J29" s="2"/>
      <c r="K29" s="13"/>
      <c r="L29" s="2"/>
    </row>
    <row r="30" spans="3:12" x14ac:dyDescent="0.25">
      <c r="C30" s="2"/>
      <c r="D30" s="2"/>
      <c r="E30" s="2"/>
      <c r="F30" s="25"/>
      <c r="G30" s="3"/>
      <c r="H30" s="26"/>
      <c r="I30" s="2"/>
      <c r="J30" s="2"/>
      <c r="K30" s="13"/>
      <c r="L30" s="2"/>
    </row>
    <row r="31" spans="3:12" x14ac:dyDescent="0.25">
      <c r="C31" s="2"/>
      <c r="D31" s="2"/>
      <c r="E31" s="2"/>
      <c r="F31" s="25"/>
      <c r="G31" s="3"/>
      <c r="H31" s="26"/>
      <c r="I31" s="2"/>
      <c r="J31" s="2"/>
      <c r="K31" s="13"/>
      <c r="L31" s="2"/>
    </row>
    <row r="32" spans="3:12" x14ac:dyDescent="0.25">
      <c r="C32" s="2"/>
      <c r="D32" s="2"/>
      <c r="E32" s="2"/>
      <c r="F32" s="25"/>
      <c r="G32" s="3"/>
      <c r="H32" s="26"/>
      <c r="I32" s="2"/>
      <c r="J32" s="2"/>
      <c r="K32" s="13"/>
      <c r="L32" s="2"/>
    </row>
    <row r="33" spans="3:12" x14ac:dyDescent="0.25">
      <c r="C33" s="2"/>
      <c r="D33" s="2"/>
      <c r="E33" s="2"/>
      <c r="F33" s="25"/>
      <c r="G33" s="3"/>
      <c r="H33" s="26"/>
      <c r="I33" s="2"/>
      <c r="J33" s="2"/>
      <c r="K33" s="13"/>
      <c r="L33" s="2"/>
    </row>
  </sheetData>
  <dataConsolidate/>
  <conditionalFormatting sqref="J8:J21">
    <cfRule type="containsText" dxfId="43" priority="1" operator="containsText" text="No">
      <formula>NOT(ISERROR(SEARCH("No",J8)))</formula>
    </cfRule>
    <cfRule type="containsText" dxfId="42" priority="4" operator="containsText" text="Yes">
      <formula>NOT(ISERROR(SEARCH("Yes",J8)))</formula>
    </cfRule>
  </conditionalFormatting>
  <conditionalFormatting sqref="L8:L21">
    <cfRule type="containsText" dxfId="41" priority="2" operator="containsText" text="Safe">
      <formula>NOT(ISERROR(SEARCH("Safe",L8)))</formula>
    </cfRule>
    <cfRule type="containsText" dxfId="40" priority="3" operator="containsText" text="Restock">
      <formula>NOT(ISERROR(SEARCH("Restock",L8)))</formula>
    </cfRule>
  </conditionalFormatting>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E0F16-6C46-674E-89BA-5D2A5E60E662}">
  <sheetPr codeName="Sheet2"/>
  <dimension ref="A2:K24"/>
  <sheetViews>
    <sheetView topLeftCell="B4" zoomScale="115" zoomScaleNormal="115" workbookViewId="0">
      <selection activeCell="C10" sqref="C10"/>
    </sheetView>
  </sheetViews>
  <sheetFormatPr defaultColWidth="11.125" defaultRowHeight="15.75" x14ac:dyDescent="0.25"/>
  <cols>
    <col min="1" max="1" width="14.875" style="15" customWidth="1"/>
    <col min="2" max="2" width="4.625" customWidth="1"/>
    <col min="3" max="3" width="6.375" customWidth="1"/>
    <col min="4" max="4" width="9.125" customWidth="1"/>
    <col min="5" max="5" width="12" bestFit="1" customWidth="1"/>
    <col min="7" max="7" width="10.125" bestFit="1" customWidth="1"/>
    <col min="8" max="8" width="10.375" customWidth="1"/>
    <col min="9" max="9" width="14.125" customWidth="1"/>
    <col min="10" max="10" width="14" customWidth="1"/>
    <col min="11" max="11" width="9.125" customWidth="1"/>
  </cols>
  <sheetData>
    <row r="2" spans="3:11" ht="21" x14ac:dyDescent="0.35">
      <c r="C2" s="14" t="s">
        <v>7</v>
      </c>
      <c r="D2" s="1"/>
      <c r="E2" s="1"/>
      <c r="F2" s="1"/>
      <c r="G2" s="1"/>
      <c r="H2" s="1"/>
      <c r="I2" s="1"/>
      <c r="J2" s="1"/>
      <c r="K2" s="1"/>
    </row>
    <row r="4" spans="3:11" ht="31.5" x14ac:dyDescent="0.25">
      <c r="C4" s="7" t="s">
        <v>36</v>
      </c>
      <c r="D4" s="7" t="s">
        <v>16</v>
      </c>
      <c r="E4" s="7" t="s">
        <v>0</v>
      </c>
      <c r="F4" s="7" t="s">
        <v>2</v>
      </c>
      <c r="G4" s="8" t="s">
        <v>17</v>
      </c>
      <c r="H4" s="8" t="s">
        <v>88</v>
      </c>
      <c r="I4" s="7" t="s">
        <v>5</v>
      </c>
      <c r="J4" s="7" t="s">
        <v>6</v>
      </c>
      <c r="K4" s="7" t="s">
        <v>4</v>
      </c>
    </row>
    <row r="5" spans="3:11" x14ac:dyDescent="0.25">
      <c r="C5" s="2">
        <v>101</v>
      </c>
      <c r="D5" t="s">
        <v>37</v>
      </c>
      <c r="E5" t="s">
        <v>57</v>
      </c>
      <c r="F5" t="s">
        <v>69</v>
      </c>
      <c r="G5" s="11">
        <v>7</v>
      </c>
      <c r="H5" s="2">
        <v>2</v>
      </c>
      <c r="I5" t="s">
        <v>18</v>
      </c>
      <c r="J5" s="10" t="s">
        <v>79</v>
      </c>
      <c r="K5" s="9" t="s">
        <v>27</v>
      </c>
    </row>
    <row r="6" spans="3:11" x14ac:dyDescent="0.25">
      <c r="C6" s="2">
        <f>C5+1</f>
        <v>102</v>
      </c>
      <c r="D6" t="s">
        <v>38</v>
      </c>
      <c r="E6" t="s">
        <v>58</v>
      </c>
      <c r="F6" t="s">
        <v>70</v>
      </c>
      <c r="G6" s="11">
        <v>14</v>
      </c>
      <c r="H6" s="2">
        <v>3</v>
      </c>
      <c r="I6" t="s">
        <v>19</v>
      </c>
      <c r="J6" s="10" t="s">
        <v>80</v>
      </c>
      <c r="K6" s="9" t="s">
        <v>27</v>
      </c>
    </row>
    <row r="7" spans="3:11" x14ac:dyDescent="0.25">
      <c r="C7" s="2">
        <f t="shared" ref="C7:C24" si="0">C6+1</f>
        <v>103</v>
      </c>
      <c r="D7" t="s">
        <v>39</v>
      </c>
      <c r="E7" t="s">
        <v>59</v>
      </c>
      <c r="F7" t="s">
        <v>71</v>
      </c>
      <c r="G7" s="11">
        <v>30</v>
      </c>
      <c r="H7" s="2">
        <v>4</v>
      </c>
      <c r="I7" t="s">
        <v>20</v>
      </c>
      <c r="J7" s="10" t="s">
        <v>81</v>
      </c>
      <c r="K7" s="9" t="s">
        <v>27</v>
      </c>
    </row>
    <row r="8" spans="3:11" x14ac:dyDescent="0.25">
      <c r="C8" s="2">
        <f t="shared" si="0"/>
        <v>104</v>
      </c>
      <c r="D8" t="s">
        <v>40</v>
      </c>
      <c r="E8" t="s">
        <v>60</v>
      </c>
      <c r="F8" t="s">
        <v>72</v>
      </c>
      <c r="G8" s="11">
        <v>7</v>
      </c>
      <c r="H8" s="2">
        <v>1</v>
      </c>
      <c r="I8" t="s">
        <v>21</v>
      </c>
      <c r="J8" s="10" t="s">
        <v>82</v>
      </c>
      <c r="K8" s="9" t="s">
        <v>27</v>
      </c>
    </row>
    <row r="9" spans="3:11" x14ac:dyDescent="0.25">
      <c r="C9" s="2">
        <f t="shared" si="0"/>
        <v>105</v>
      </c>
      <c r="D9" t="s">
        <v>41</v>
      </c>
      <c r="E9" t="s">
        <v>62</v>
      </c>
      <c r="F9" t="s">
        <v>69</v>
      </c>
      <c r="G9" s="11">
        <v>7</v>
      </c>
      <c r="H9" s="2">
        <v>2</v>
      </c>
      <c r="I9" t="s">
        <v>18</v>
      </c>
      <c r="J9" s="10" t="s">
        <v>79</v>
      </c>
      <c r="K9" s="9" t="s">
        <v>27</v>
      </c>
    </row>
    <row r="10" spans="3:11" x14ac:dyDescent="0.25">
      <c r="C10" s="2">
        <f t="shared" si="0"/>
        <v>106</v>
      </c>
      <c r="D10" t="s">
        <v>42</v>
      </c>
      <c r="E10" t="s">
        <v>61</v>
      </c>
      <c r="F10" t="s">
        <v>69</v>
      </c>
      <c r="G10" s="11">
        <v>7</v>
      </c>
      <c r="H10" s="2">
        <v>2</v>
      </c>
      <c r="I10" t="s">
        <v>18</v>
      </c>
      <c r="J10" s="10" t="s">
        <v>79</v>
      </c>
      <c r="K10" s="9" t="s">
        <v>27</v>
      </c>
    </row>
    <row r="11" spans="3:11" x14ac:dyDescent="0.25">
      <c r="C11" s="2">
        <f t="shared" si="0"/>
        <v>107</v>
      </c>
      <c r="D11" t="s">
        <v>43</v>
      </c>
      <c r="E11" t="s">
        <v>63</v>
      </c>
      <c r="F11" t="s">
        <v>69</v>
      </c>
      <c r="G11" s="11">
        <v>7</v>
      </c>
      <c r="H11" s="2">
        <v>2</v>
      </c>
      <c r="I11" t="s">
        <v>18</v>
      </c>
      <c r="J11" s="10" t="s">
        <v>79</v>
      </c>
      <c r="K11" s="9" t="s">
        <v>27</v>
      </c>
    </row>
    <row r="12" spans="3:11" x14ac:dyDescent="0.25">
      <c r="C12" s="2">
        <f t="shared" si="0"/>
        <v>108</v>
      </c>
      <c r="D12" t="s">
        <v>44</v>
      </c>
      <c r="E12" t="s">
        <v>64</v>
      </c>
      <c r="F12" t="s">
        <v>71</v>
      </c>
      <c r="G12" s="11">
        <v>30</v>
      </c>
      <c r="H12" s="2">
        <v>4</v>
      </c>
      <c r="I12" t="s">
        <v>20</v>
      </c>
      <c r="J12" s="10" t="s">
        <v>81</v>
      </c>
      <c r="K12" s="9" t="s">
        <v>27</v>
      </c>
    </row>
    <row r="13" spans="3:11" x14ac:dyDescent="0.25">
      <c r="C13" s="2">
        <f t="shared" si="0"/>
        <v>109</v>
      </c>
      <c r="D13" t="s">
        <v>45</v>
      </c>
      <c r="E13" t="s">
        <v>61</v>
      </c>
      <c r="F13" t="s">
        <v>71</v>
      </c>
      <c r="G13" s="11">
        <v>30</v>
      </c>
      <c r="H13" s="2">
        <v>4</v>
      </c>
      <c r="I13" t="s">
        <v>20</v>
      </c>
      <c r="J13" s="10" t="s">
        <v>81</v>
      </c>
      <c r="K13" s="9" t="s">
        <v>27</v>
      </c>
    </row>
    <row r="14" spans="3:11" x14ac:dyDescent="0.25">
      <c r="C14" s="2">
        <f t="shared" si="0"/>
        <v>110</v>
      </c>
      <c r="D14" t="s">
        <v>46</v>
      </c>
      <c r="E14" t="s">
        <v>65</v>
      </c>
      <c r="F14" t="s">
        <v>71</v>
      </c>
      <c r="G14" s="11">
        <v>30</v>
      </c>
      <c r="H14" s="2">
        <v>4</v>
      </c>
      <c r="I14" t="s">
        <v>20</v>
      </c>
      <c r="J14" s="10" t="s">
        <v>81</v>
      </c>
      <c r="K14" s="9" t="s">
        <v>27</v>
      </c>
    </row>
    <row r="15" spans="3:11" x14ac:dyDescent="0.25">
      <c r="C15" s="2">
        <f t="shared" si="0"/>
        <v>111</v>
      </c>
      <c r="D15" t="s">
        <v>47</v>
      </c>
      <c r="E15" t="s">
        <v>66</v>
      </c>
      <c r="F15" t="s">
        <v>73</v>
      </c>
      <c r="G15" s="11">
        <v>7</v>
      </c>
      <c r="H15" s="2">
        <v>1</v>
      </c>
      <c r="I15" t="s">
        <v>22</v>
      </c>
      <c r="J15" s="10" t="s">
        <v>83</v>
      </c>
      <c r="K15" s="9" t="s">
        <v>27</v>
      </c>
    </row>
    <row r="16" spans="3:11" x14ac:dyDescent="0.25">
      <c r="C16" s="2">
        <f t="shared" si="0"/>
        <v>112</v>
      </c>
      <c r="D16" t="s">
        <v>48</v>
      </c>
      <c r="E16" t="s">
        <v>67</v>
      </c>
      <c r="F16" t="s">
        <v>74</v>
      </c>
      <c r="G16" s="11">
        <v>60</v>
      </c>
      <c r="H16" s="2">
        <v>4</v>
      </c>
      <c r="I16" t="s">
        <v>23</v>
      </c>
      <c r="J16" s="10" t="s">
        <v>84</v>
      </c>
      <c r="K16" s="9" t="s">
        <v>27</v>
      </c>
    </row>
    <row r="17" spans="3:11" x14ac:dyDescent="0.25">
      <c r="C17" s="2">
        <f t="shared" si="0"/>
        <v>113</v>
      </c>
      <c r="D17" t="s">
        <v>49</v>
      </c>
      <c r="E17" t="s">
        <v>59</v>
      </c>
      <c r="F17" t="s">
        <v>75</v>
      </c>
      <c r="G17" s="11">
        <v>5</v>
      </c>
      <c r="H17" s="2">
        <v>4</v>
      </c>
      <c r="I17" t="s">
        <v>24</v>
      </c>
      <c r="J17" s="10" t="s">
        <v>85</v>
      </c>
      <c r="K17" s="9" t="s">
        <v>27</v>
      </c>
    </row>
    <row r="18" spans="3:11" x14ac:dyDescent="0.25">
      <c r="C18" s="2">
        <f t="shared" si="0"/>
        <v>114</v>
      </c>
      <c r="D18" t="s">
        <v>50</v>
      </c>
      <c r="E18" t="s">
        <v>58</v>
      </c>
      <c r="F18" t="s">
        <v>74</v>
      </c>
      <c r="G18" s="11">
        <v>60</v>
      </c>
      <c r="H18" s="2">
        <v>4</v>
      </c>
      <c r="I18" t="s">
        <v>23</v>
      </c>
      <c r="J18" s="10" t="s">
        <v>84</v>
      </c>
      <c r="K18" s="9" t="s">
        <v>27</v>
      </c>
    </row>
    <row r="19" spans="3:11" x14ac:dyDescent="0.25">
      <c r="C19" s="2">
        <f t="shared" si="0"/>
        <v>115</v>
      </c>
      <c r="D19" t="s">
        <v>51</v>
      </c>
      <c r="E19" t="s">
        <v>61</v>
      </c>
      <c r="F19" t="s">
        <v>74</v>
      </c>
      <c r="G19" s="11">
        <v>60</v>
      </c>
      <c r="H19" s="2">
        <v>4</v>
      </c>
      <c r="I19" t="s">
        <v>23</v>
      </c>
      <c r="J19" s="10" t="s">
        <v>84</v>
      </c>
      <c r="K19" s="9" t="s">
        <v>27</v>
      </c>
    </row>
    <row r="20" spans="3:11" x14ac:dyDescent="0.25">
      <c r="C20" s="2">
        <f t="shared" si="0"/>
        <v>116</v>
      </c>
      <c r="D20" t="s">
        <v>52</v>
      </c>
      <c r="E20" t="s">
        <v>67</v>
      </c>
      <c r="F20" t="s">
        <v>74</v>
      </c>
      <c r="G20" s="11">
        <v>60</v>
      </c>
      <c r="H20" s="2">
        <v>4</v>
      </c>
      <c r="I20" t="s">
        <v>23</v>
      </c>
      <c r="J20" s="10" t="s">
        <v>84</v>
      </c>
      <c r="K20" s="9" t="s">
        <v>27</v>
      </c>
    </row>
    <row r="21" spans="3:11" x14ac:dyDescent="0.25">
      <c r="C21" s="2">
        <f t="shared" si="0"/>
        <v>117</v>
      </c>
      <c r="D21" t="s">
        <v>53</v>
      </c>
      <c r="E21" t="s">
        <v>61</v>
      </c>
      <c r="F21" t="s">
        <v>74</v>
      </c>
      <c r="G21" s="11">
        <v>60</v>
      </c>
      <c r="H21" s="2">
        <v>4</v>
      </c>
      <c r="I21" t="s">
        <v>23</v>
      </c>
      <c r="J21" s="10" t="s">
        <v>84</v>
      </c>
      <c r="K21" s="9" t="s">
        <v>27</v>
      </c>
    </row>
    <row r="22" spans="3:11" x14ac:dyDescent="0.25">
      <c r="C22" s="2">
        <f t="shared" si="0"/>
        <v>118</v>
      </c>
      <c r="D22" t="s">
        <v>54</v>
      </c>
      <c r="E22" t="s">
        <v>59</v>
      </c>
      <c r="F22" t="s">
        <v>76</v>
      </c>
      <c r="G22" s="11">
        <v>30</v>
      </c>
      <c r="H22" s="2">
        <v>4</v>
      </c>
      <c r="I22" t="s">
        <v>26</v>
      </c>
      <c r="J22" s="10" t="s">
        <v>86</v>
      </c>
      <c r="K22" s="9" t="s">
        <v>27</v>
      </c>
    </row>
    <row r="23" spans="3:11" x14ac:dyDescent="0.25">
      <c r="C23" s="2">
        <f t="shared" si="0"/>
        <v>119</v>
      </c>
      <c r="D23" t="s">
        <v>55</v>
      </c>
      <c r="E23" t="s">
        <v>61</v>
      </c>
      <c r="F23" t="s">
        <v>77</v>
      </c>
      <c r="G23" s="11">
        <v>60</v>
      </c>
      <c r="H23" s="2">
        <v>2</v>
      </c>
      <c r="I23" t="s">
        <v>25</v>
      </c>
      <c r="J23" s="10" t="s">
        <v>87</v>
      </c>
      <c r="K23" s="9" t="s">
        <v>27</v>
      </c>
    </row>
    <row r="24" spans="3:11" x14ac:dyDescent="0.25">
      <c r="C24" s="2">
        <f t="shared" si="0"/>
        <v>120</v>
      </c>
      <c r="D24" t="s">
        <v>56</v>
      </c>
      <c r="E24" t="s">
        <v>68</v>
      </c>
      <c r="F24" t="s">
        <v>78</v>
      </c>
      <c r="G24" s="11">
        <v>60</v>
      </c>
      <c r="H24" s="2">
        <v>4</v>
      </c>
      <c r="I24" t="s">
        <v>26</v>
      </c>
      <c r="J24" s="10" t="s">
        <v>86</v>
      </c>
      <c r="K24" s="9" t="s">
        <v>27</v>
      </c>
    </row>
  </sheetData>
  <hyperlinks>
    <hyperlink ref="J5" r:id="rId1" xr:uid="{3BFF100D-5F26-3A40-BA6B-32906D0AB0C2}"/>
    <hyperlink ref="J6" r:id="rId2" xr:uid="{DAEC3547-A625-E141-9E05-E08210726355}"/>
    <hyperlink ref="J7" r:id="rId3" xr:uid="{7CD3C45A-B007-F34A-9D2B-9BF6E49698E1}"/>
    <hyperlink ref="J8" r:id="rId4" xr:uid="{CDBF5EF3-61AB-4F41-AB2E-458A0C776AC6}"/>
    <hyperlink ref="J9" r:id="rId5" xr:uid="{85442B39-6DEA-AA46-BA99-D65AA8C7CC9E}"/>
    <hyperlink ref="J10" r:id="rId6" xr:uid="{EE1067CB-3D1A-2D44-A50D-EB936EAF84CE}"/>
    <hyperlink ref="J11" r:id="rId7" xr:uid="{38123834-18FA-4B4C-983F-0AF8411856E7}"/>
    <hyperlink ref="J12" r:id="rId8" xr:uid="{F644D934-049D-DD45-B9D6-0326EB2A1399}"/>
    <hyperlink ref="J13" r:id="rId9" xr:uid="{B19601FC-7FAF-574D-8972-38D366AC531D}"/>
    <hyperlink ref="J14" r:id="rId10" xr:uid="{2BC32264-3AFA-C643-99D9-61411A191E3C}"/>
    <hyperlink ref="J15" r:id="rId11" xr:uid="{1F8B5EA1-841C-5341-9B9D-68383A21FF61}"/>
    <hyperlink ref="J16" r:id="rId12" xr:uid="{CCD91297-9CA0-F04F-BA45-FBB83CC6C9BC}"/>
    <hyperlink ref="J17" r:id="rId13" xr:uid="{D557152C-8568-8543-B2D3-EBBE66BFC6EB}"/>
    <hyperlink ref="J18" r:id="rId14" xr:uid="{AFBF0F02-0E1C-DB47-8734-77585256700C}"/>
    <hyperlink ref="J19" r:id="rId15" xr:uid="{0B086BE2-05B1-894C-BEA9-AF83922BB7C2}"/>
    <hyperlink ref="J20" r:id="rId16" xr:uid="{7DDFDBD9-3CDF-B948-8508-C335182A8D74}"/>
    <hyperlink ref="J21" r:id="rId17" xr:uid="{08398281-FD76-0040-8D7F-136D440A6335}"/>
    <hyperlink ref="J22" r:id="rId18" xr:uid="{2A2D4036-5CC2-8542-BBD4-1A36326FEB45}"/>
    <hyperlink ref="J23" r:id="rId19" xr:uid="{ABC2AC51-CF52-2F45-987F-6B1F6C310DE1}"/>
    <hyperlink ref="J24" r:id="rId20" xr:uid="{A85332C4-7871-444D-9170-246B18C24AEE}"/>
  </hyperlinks>
  <pageMargins left="0.7" right="0.7" top="0.75" bottom="0.75" header="0.3" footer="0.3"/>
  <drawing r:id="rId21"/>
  <tableParts count="1">
    <tablePart r:id="rId2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66AC4-9043-1147-98FB-218254C56D0A}">
  <sheetPr codeName="Sheet3"/>
  <dimension ref="A2:I20"/>
  <sheetViews>
    <sheetView zoomScale="115" zoomScaleNormal="115" workbookViewId="0">
      <selection activeCell="J7" sqref="J7"/>
    </sheetView>
  </sheetViews>
  <sheetFormatPr defaultColWidth="11.125" defaultRowHeight="15.75" x14ac:dyDescent="0.25"/>
  <cols>
    <col min="1" max="1" width="14.875" style="15" customWidth="1"/>
    <col min="2" max="2" width="4.5" customWidth="1"/>
    <col min="4" max="4" width="14.75" bestFit="1" customWidth="1"/>
    <col min="6" max="6" width="16.375" bestFit="1" customWidth="1"/>
    <col min="8" max="8" width="13.5" bestFit="1" customWidth="1"/>
    <col min="9" max="9" width="18.625" bestFit="1" customWidth="1"/>
  </cols>
  <sheetData>
    <row r="2" spans="3:9" ht="21" x14ac:dyDescent="0.35">
      <c r="C2" s="14" t="s">
        <v>14</v>
      </c>
      <c r="D2" s="1"/>
      <c r="E2" s="1"/>
      <c r="F2" s="1"/>
      <c r="G2" s="1"/>
      <c r="H2" s="1"/>
      <c r="I2" s="1"/>
    </row>
    <row r="4" spans="3:9" x14ac:dyDescent="0.25">
      <c r="C4" t="s">
        <v>13</v>
      </c>
      <c r="D4" s="28">
        <f>SUM(G7:G13)</f>
        <v>19323790</v>
      </c>
    </row>
    <row r="6" spans="3:9" x14ac:dyDescent="0.25">
      <c r="C6" s="6" t="s">
        <v>15</v>
      </c>
      <c r="D6" s="20" t="s">
        <v>16</v>
      </c>
      <c r="E6" s="21" t="s">
        <v>11</v>
      </c>
      <c r="F6" s="21" t="s">
        <v>2</v>
      </c>
      <c r="G6" s="21" t="s">
        <v>12</v>
      </c>
      <c r="H6" s="21" t="s">
        <v>3</v>
      </c>
      <c r="I6" s="22" t="s">
        <v>35</v>
      </c>
    </row>
    <row r="7" spans="3:9" x14ac:dyDescent="0.25">
      <c r="C7" s="19" cm="1">
        <f t="array" ref="C7:C11">_xlfn._xlws.FILTER(Inventory[Product ID],Inventory[Reorder?]="Yes","")</f>
        <v>101</v>
      </c>
      <c r="D7" s="19" t="str">
        <f>IFERROR(_xlfn.XLOOKUP(C7,Vendor[ID],Vendor[Product],,0,),"")</f>
        <v>Fading Light</v>
      </c>
      <c r="E7" s="19">
        <f>IFERROR(_xlfn.XLOOKUP(C7,Vendor[ID],Vendor[Reorder],,0),"")</f>
        <v>2</v>
      </c>
      <c r="F7" s="16" t="str">
        <f>IFERROR(_xlfn.XLOOKUP(C7,Vendor[ID],Vendor[Vendor],,0,),"")</f>
        <v>Starlight Publishing</v>
      </c>
      <c r="G7" s="29">
        <f>IFERROR(E7*_xlfn.XLOOKUP(C7,Inventory[Product ID],Inventory[Cost per Unit],""),"")</f>
        <v>1964690</v>
      </c>
      <c r="H7" t="str">
        <f>_xlfn.XLOOKUP(C7,Vendor[ID],Vendor[Contact Name],"")</f>
        <v>Josh Smith</v>
      </c>
      <c r="I7" t="str">
        <f>_xlfn.XLOOKUP(C7,Vendor[ID],Vendor[Email Address],"")</f>
        <v>josh.smith@gmail.com</v>
      </c>
    </row>
    <row r="8" spans="3:9" x14ac:dyDescent="0.25">
      <c r="C8" s="19">
        <v>103</v>
      </c>
      <c r="D8" s="19" t="str">
        <f>IFERROR(_xlfn.XLOOKUP(C8,Vendor[ID],Vendor[Product],,0,),"")</f>
        <v>Iron Sky</v>
      </c>
      <c r="E8" s="19">
        <f>IFERROR(_xlfn.XLOOKUP(C8,Vendor[ID],Vendor[Reorder],,0),"")</f>
        <v>4</v>
      </c>
      <c r="F8" s="16" t="str">
        <f>IFERROR(_xlfn.XLOOKUP(C8,Vendor[ID],Vendor[Vendor],,0,),"")</f>
        <v>EchoBay Press</v>
      </c>
      <c r="G8" s="29">
        <f>IFERROR(E8*_xlfn.XLOOKUP(C8,Inventory[Product ID],Inventory[Cost per Unit],""),"")</f>
        <v>5758348</v>
      </c>
      <c r="H8" t="str">
        <f>_xlfn.XLOOKUP(C8,Vendor[ID],Vendor[Contact Name],"")</f>
        <v>Mikel Artena</v>
      </c>
      <c r="I8" t="str">
        <f>_xlfn.XLOOKUP(C8,Vendor[ID],Vendor[Email Address],"")</f>
        <v>mikel.artena@gmail.com</v>
      </c>
    </row>
    <row r="9" spans="3:9" x14ac:dyDescent="0.25">
      <c r="C9" s="19">
        <v>110</v>
      </c>
      <c r="D9" s="19" t="str">
        <f>IFERROR(_xlfn.XLOOKUP(C9,Vendor[ID],Vendor[Product],,0,),"")</f>
        <v>Frostfire</v>
      </c>
      <c r="E9" s="19">
        <f>IFERROR(_xlfn.XLOOKUP(C9,Vendor[ID],Vendor[Reorder],,0),"")</f>
        <v>4</v>
      </c>
      <c r="F9" s="16" t="str">
        <f>IFERROR(_xlfn.XLOOKUP(C9,Vendor[ID],Vendor[Vendor],,0,),"")</f>
        <v>EchoBay Press</v>
      </c>
      <c r="G9" s="29">
        <f>IFERROR(E9*_xlfn.XLOOKUP(C9,Inventory[Product ID],Inventory[Cost per Unit],""),"")</f>
        <v>3300096</v>
      </c>
      <c r="H9" t="str">
        <f>_xlfn.XLOOKUP(C9,Vendor[ID],Vendor[Contact Name],"")</f>
        <v>Mikel Artena</v>
      </c>
      <c r="I9" t="str">
        <f>_xlfn.XLOOKUP(C9,Vendor[ID],Vendor[Email Address],"")</f>
        <v>mikel.artena@gmail.com</v>
      </c>
    </row>
    <row r="10" spans="3:9" x14ac:dyDescent="0.25">
      <c r="C10" s="19">
        <v>112</v>
      </c>
      <c r="D10" s="19" t="str">
        <f>IFERROR(_xlfn.XLOOKUP(C10,Vendor[ID],Vendor[Product],,0,),"")</f>
        <v>Crimson</v>
      </c>
      <c r="E10" s="19">
        <f>IFERROR(_xlfn.XLOOKUP(C10,Vendor[ID],Vendor[Reorder],,0),"")</f>
        <v>4</v>
      </c>
      <c r="F10" s="16" t="str">
        <f>IFERROR(_xlfn.XLOOKUP(C10,Vendor[ID],Vendor[Vendor],,0,),"")</f>
        <v>Phoenix Publishers</v>
      </c>
      <c r="G10" s="29">
        <f>IFERROR(E10*_xlfn.XLOOKUP(C10,Inventory[Product ID],Inventory[Cost per Unit],""),"")</f>
        <v>3360084</v>
      </c>
      <c r="H10" t="str">
        <f>_xlfn.XLOOKUP(C10,Vendor[ID],Vendor[Contact Name],"")</f>
        <v>Miriam Adelson</v>
      </c>
      <c r="I10" t="str">
        <f>_xlfn.XLOOKUP(C10,Vendor[ID],Vendor[Email Address],"")</f>
        <v>miriam.adelson@gmail.com</v>
      </c>
    </row>
    <row r="11" spans="3:9" x14ac:dyDescent="0.25">
      <c r="C11" s="19">
        <v>118</v>
      </c>
      <c r="D11" s="19" t="str">
        <f>IFERROR(_xlfn.XLOOKUP(C11,Vendor[ID],Vendor[Product],,0,),"")</f>
        <v>The Nexus</v>
      </c>
      <c r="E11" s="19">
        <f>IFERROR(_xlfn.XLOOKUP(C11,Vendor[ID],Vendor[Reorder],,0),"")</f>
        <v>4</v>
      </c>
      <c r="F11" s="16" t="str">
        <f>IFERROR(_xlfn.XLOOKUP(C11,Vendor[ID],Vendor[Vendor],,0,),"")</f>
        <v>Nexus Literary</v>
      </c>
      <c r="G11" s="29">
        <f>IFERROR(E11*_xlfn.XLOOKUP(C11,Inventory[Product ID],Inventory[Cost per Unit],""),"")</f>
        <v>4940572</v>
      </c>
      <c r="H11" t="str">
        <f>_xlfn.XLOOKUP(C11,Vendor[ID],Vendor[Contact Name],"")</f>
        <v>Jim Simons</v>
      </c>
      <c r="I11" t="str">
        <f>_xlfn.XLOOKUP(C11,Vendor[ID],Vendor[Email Address],"")</f>
        <v>jim.simons@gmail.com</v>
      </c>
    </row>
    <row r="12" spans="3:9" x14ac:dyDescent="0.25">
      <c r="C12" s="19"/>
      <c r="D12" s="19" t="str">
        <f>IFERROR(_xlfn.XLOOKUP(C12,Vendor[ID],Vendor[Product],,0,),"")</f>
        <v/>
      </c>
      <c r="E12" s="19" t="str">
        <f>IFERROR(_xlfn.XLOOKUP(C12,Vendor[ID],Vendor[Reorder],,0),"")</f>
        <v/>
      </c>
      <c r="F12" s="16" t="str">
        <f>IFERROR(_xlfn.XLOOKUP(C12,Vendor[ID],Vendor[Vendor],,0,),"")</f>
        <v/>
      </c>
      <c r="G12" s="29" t="str">
        <f>IFERROR(E12*_xlfn.XLOOKUP(C12,Inventory[Product ID],Inventory[Cost per Unit],""),"")</f>
        <v/>
      </c>
      <c r="H12" t="str">
        <f>_xlfn.XLOOKUP(C12,Vendor[ID],Vendor[Contact Name],"")</f>
        <v/>
      </c>
      <c r="I12" t="str">
        <f>_xlfn.XLOOKUP(C12,Vendor[ID],Vendor[Email Address],"")</f>
        <v/>
      </c>
    </row>
    <row r="13" spans="3:9" x14ac:dyDescent="0.25">
      <c r="C13" s="19"/>
      <c r="D13" s="19" t="str">
        <f>IFERROR(_xlfn.XLOOKUP(C13,Vendor[ID],Vendor[Product],,0,),"")</f>
        <v/>
      </c>
      <c r="E13" s="19" t="str">
        <f>IFERROR(_xlfn.XLOOKUP(C13,Vendor[ID],Vendor[Reorder],,0),"")</f>
        <v/>
      </c>
      <c r="F13" s="16" t="str">
        <f>IFERROR(_xlfn.XLOOKUP(C13,Vendor[ID],Vendor[Vendor],,0,),"")</f>
        <v/>
      </c>
      <c r="G13" s="29" t="str">
        <f>IFERROR(E13*_xlfn.XLOOKUP(C13,Inventory[Product ID],Inventory[Cost per Unit],""),"")</f>
        <v/>
      </c>
      <c r="H13" t="str">
        <f>_xlfn.XLOOKUP(C13,Vendor[ID],Vendor[Contact Name],"")</f>
        <v/>
      </c>
      <c r="I13" t="str">
        <f>_xlfn.XLOOKUP(C13,Vendor[ID],Vendor[Email Address],"")</f>
        <v/>
      </c>
    </row>
    <row r="14" spans="3:9" x14ac:dyDescent="0.25">
      <c r="C14" s="19"/>
      <c r="D14" s="19" t="str">
        <f>IFERROR(_xlfn.XLOOKUP(C14,Vendor[ID],Vendor[Product],,0,),"")</f>
        <v/>
      </c>
      <c r="E14" s="19" t="str">
        <f>IFERROR(_xlfn.XLOOKUP(C14,Vendor[ID],Vendor[Reorder],,0),"")</f>
        <v/>
      </c>
      <c r="F14" s="16" t="str">
        <f>IFERROR(_xlfn.XLOOKUP(C14,Vendor[ID],Vendor[Vendor],,0,),"")</f>
        <v/>
      </c>
      <c r="G14" s="29" t="str">
        <f>IFERROR(E14*_xlfn.XLOOKUP(C14,Inventory[Product ID],Inventory[Cost per Unit],""),"")</f>
        <v/>
      </c>
      <c r="H14" t="str">
        <f>_xlfn.XLOOKUP(C14,Vendor[ID],Vendor[Contact Name],"")</f>
        <v/>
      </c>
      <c r="I14" t="str">
        <f>_xlfn.XLOOKUP(C14,Vendor[ID],Vendor[Email Address],"")</f>
        <v/>
      </c>
    </row>
    <row r="15" spans="3:9" x14ac:dyDescent="0.25">
      <c r="C15" s="19"/>
      <c r="D15" s="19" t="str">
        <f>IFERROR(_xlfn.XLOOKUP(C15,Vendor[ID],Vendor[Product],,0,),"")</f>
        <v/>
      </c>
      <c r="E15" s="19" t="str">
        <f>IFERROR(_xlfn.XLOOKUP(C15,Vendor[ID],Vendor[Reorder],,0),"")</f>
        <v/>
      </c>
      <c r="F15" s="16" t="str">
        <f>IFERROR(_xlfn.XLOOKUP(C15,Vendor[ID],Vendor[Vendor],,0,),"")</f>
        <v/>
      </c>
      <c r="G15" s="29" t="str">
        <f>IFERROR(E15*_xlfn.XLOOKUP(C15,Inventory[Product ID],Inventory[Cost per Unit],""),"")</f>
        <v/>
      </c>
      <c r="H15" t="str">
        <f>_xlfn.XLOOKUP(C15,Vendor[ID],Vendor[Contact Name],"")</f>
        <v/>
      </c>
      <c r="I15" t="str">
        <f>_xlfn.XLOOKUP(C15,Vendor[ID],Vendor[Email Address],"")</f>
        <v/>
      </c>
    </row>
    <row r="16" spans="3:9" x14ac:dyDescent="0.25">
      <c r="C16" s="19"/>
      <c r="D16" s="19" t="str">
        <f>IFERROR(_xlfn.XLOOKUP(C16,Vendor[ID],Vendor[Product],,0,),"")</f>
        <v/>
      </c>
      <c r="E16" s="19" t="str">
        <f>IFERROR(_xlfn.XLOOKUP(C16,Vendor[ID],Vendor[Reorder],,0),"")</f>
        <v/>
      </c>
      <c r="F16" s="16" t="str">
        <f>IFERROR(_xlfn.XLOOKUP(C16,Vendor[ID],Vendor[Vendor],,0,),"")</f>
        <v/>
      </c>
      <c r="G16" s="29" t="str">
        <f>IFERROR(E16*_xlfn.XLOOKUP(C16,Inventory[Product ID],Inventory[Cost per Unit],""),"")</f>
        <v/>
      </c>
      <c r="H16" t="str">
        <f>_xlfn.XLOOKUP(C16,Vendor[ID],Vendor[Contact Name],"")</f>
        <v/>
      </c>
      <c r="I16" t="str">
        <f>_xlfn.XLOOKUP(C16,Vendor[ID],Vendor[Email Address],"")</f>
        <v/>
      </c>
    </row>
    <row r="17" spans="3:9" x14ac:dyDescent="0.25">
      <c r="C17" s="19"/>
      <c r="D17" s="19" t="str">
        <f>IFERROR(_xlfn.XLOOKUP(C17,Vendor[ID],Vendor[Product],,0,),"")</f>
        <v/>
      </c>
      <c r="E17" s="19" t="str">
        <f>IFERROR(_xlfn.XLOOKUP(C17,Vendor[ID],Vendor[Reorder],,0),"")</f>
        <v/>
      </c>
      <c r="F17" s="16" t="str">
        <f>IFERROR(_xlfn.XLOOKUP(C17,Vendor[ID],Vendor[Vendor],,0,),"")</f>
        <v/>
      </c>
      <c r="G17" s="29" t="str">
        <f>IFERROR(E17*_xlfn.XLOOKUP(C17,Inventory[Product ID],Inventory[Cost per Unit],""),"")</f>
        <v/>
      </c>
      <c r="H17" t="str">
        <f>_xlfn.XLOOKUP(C17,Vendor[ID],Vendor[Contact Name],"")</f>
        <v/>
      </c>
      <c r="I17" t="str">
        <f>_xlfn.XLOOKUP(C17,Vendor[ID],Vendor[Email Address],"")</f>
        <v/>
      </c>
    </row>
    <row r="18" spans="3:9" x14ac:dyDescent="0.25">
      <c r="C18" s="19"/>
      <c r="D18" s="19" t="str">
        <f>IFERROR(_xlfn.XLOOKUP(C18,Vendor[ID],Vendor[Product],,0,),"")</f>
        <v/>
      </c>
      <c r="E18" s="19" t="str">
        <f>IFERROR(_xlfn.XLOOKUP(C18,Vendor[ID],Vendor[Reorder],,0),"")</f>
        <v/>
      </c>
      <c r="F18" s="16" t="str">
        <f>IFERROR(_xlfn.XLOOKUP(C18,Vendor[ID],Vendor[Vendor],,0,),"")</f>
        <v/>
      </c>
      <c r="G18" s="29" t="str">
        <f>IFERROR(E18*_xlfn.XLOOKUP(C18,Inventory[Product ID],Inventory[Cost per Unit],""),"")</f>
        <v/>
      </c>
      <c r="H18" t="str">
        <f>_xlfn.XLOOKUP(C18,Vendor[ID],Vendor[Contact Name],"")</f>
        <v/>
      </c>
      <c r="I18" t="str">
        <f>_xlfn.XLOOKUP(C18,Vendor[ID],Vendor[Email Address],"")</f>
        <v/>
      </c>
    </row>
    <row r="19" spans="3:9" x14ac:dyDescent="0.25">
      <c r="C19" s="19"/>
      <c r="D19" s="19" t="str">
        <f>IFERROR(_xlfn.XLOOKUP(C19,Vendor[ID],Vendor[Product],,0,),"")</f>
        <v/>
      </c>
      <c r="E19" s="19" t="str">
        <f>IFERROR(_xlfn.XLOOKUP(C19,Vendor[ID],Vendor[Reorder],,0),"")</f>
        <v/>
      </c>
      <c r="F19" s="16" t="str">
        <f>IFERROR(_xlfn.XLOOKUP(C19,Vendor[ID],Vendor[Vendor],,0,),"")</f>
        <v/>
      </c>
      <c r="G19" s="29" t="str">
        <f>IFERROR(E19*_xlfn.XLOOKUP(C19,Inventory[Product ID],Inventory[Cost per Unit],""),"")</f>
        <v/>
      </c>
      <c r="H19" t="str">
        <f>_xlfn.XLOOKUP(C19,Vendor[ID],Vendor[Contact Name],"")</f>
        <v/>
      </c>
      <c r="I19" t="str">
        <f>_xlfn.XLOOKUP(C19,Vendor[ID],Vendor[Email Address],"")</f>
        <v/>
      </c>
    </row>
    <row r="20" spans="3:9" x14ac:dyDescent="0.25">
      <c r="C20" s="19"/>
      <c r="D20" s="19" t="str">
        <f>IFERROR(_xlfn.XLOOKUP(C20,Vendor[ID],Vendor[Product],,0,),"")</f>
        <v/>
      </c>
      <c r="E20" s="19" t="str">
        <f>IFERROR(_xlfn.XLOOKUP(C20,Vendor[ID],Vendor[Reorder],,0),"")</f>
        <v/>
      </c>
      <c r="F20" s="16" t="str">
        <f>IFERROR(_xlfn.XLOOKUP(C20,Vendor[ID],Vendor[Vendor],,0,),"")</f>
        <v/>
      </c>
      <c r="G20" s="29" t="str">
        <f>IFERROR(E20*_xlfn.XLOOKUP(C20,Inventory[Product ID],Inventory[Cost per Unit],""),"")</f>
        <v/>
      </c>
      <c r="H20" t="str">
        <f>_xlfn.XLOOKUP(C20,Vendor[ID],Vendor[Contact Name],"")</f>
        <v/>
      </c>
      <c r="I20" t="str">
        <f>_xlfn.XLOOKUP(C20,Vendor[ID],Vendor[Email Address],"")</f>
        <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E22B1-AFC8-42AC-879E-BB9F0F03AABC}">
  <sheetPr codeName="Sheet4"/>
  <dimension ref="B2:H35"/>
  <sheetViews>
    <sheetView topLeftCell="A9" workbookViewId="0">
      <selection activeCell="H22" sqref="H22"/>
    </sheetView>
  </sheetViews>
  <sheetFormatPr defaultRowHeight="15.75" x14ac:dyDescent="0.25"/>
  <cols>
    <col min="2" max="2" width="12" bestFit="1" customWidth="1"/>
    <col min="3" max="3" width="16.125" bestFit="1" customWidth="1"/>
    <col min="4" max="4" width="14.25" bestFit="1" customWidth="1"/>
    <col min="5" max="5" width="10.125" bestFit="1" customWidth="1"/>
    <col min="6" max="7" width="12" bestFit="1" customWidth="1"/>
    <col min="8" max="8" width="15.25" bestFit="1" customWidth="1"/>
    <col min="9" max="9" width="3.75" bestFit="1" customWidth="1"/>
    <col min="10" max="10" width="10.125" bestFit="1" customWidth="1"/>
    <col min="11" max="11" width="11.875" bestFit="1" customWidth="1"/>
    <col min="12" max="12" width="12" bestFit="1" customWidth="1"/>
    <col min="13" max="13" width="15.25" bestFit="1" customWidth="1"/>
    <col min="14" max="15" width="11.875" bestFit="1" customWidth="1"/>
    <col min="16" max="16" width="2.875" bestFit="1" customWidth="1"/>
    <col min="17" max="17" width="6.625" bestFit="1" customWidth="1"/>
    <col min="18" max="19" width="10.125" bestFit="1" customWidth="1"/>
  </cols>
  <sheetData>
    <row r="2" spans="2:8" x14ac:dyDescent="0.25">
      <c r="B2" s="17" t="s">
        <v>95</v>
      </c>
      <c r="C2" s="17" t="s">
        <v>91</v>
      </c>
      <c r="G2" s="17" t="s">
        <v>93</v>
      </c>
      <c r="H2" s="24" t="s">
        <v>96</v>
      </c>
    </row>
    <row r="3" spans="2:8" x14ac:dyDescent="0.25">
      <c r="B3" s="17" t="s">
        <v>93</v>
      </c>
      <c r="C3" t="s">
        <v>98</v>
      </c>
      <c r="D3" t="s">
        <v>97</v>
      </c>
      <c r="E3" t="s">
        <v>92</v>
      </c>
      <c r="G3" s="16"/>
      <c r="H3" s="30">
        <v>0</v>
      </c>
    </row>
    <row r="4" spans="2:8" x14ac:dyDescent="0.25">
      <c r="B4" s="32" t="s">
        <v>52</v>
      </c>
      <c r="C4" s="31">
        <v>11</v>
      </c>
      <c r="D4" s="31"/>
      <c r="E4" s="31">
        <v>11</v>
      </c>
      <c r="G4" s="16" t="s">
        <v>48</v>
      </c>
      <c r="H4" s="30">
        <v>3360084</v>
      </c>
    </row>
    <row r="5" spans="2:8" x14ac:dyDescent="0.25">
      <c r="B5" s="16" t="s">
        <v>45</v>
      </c>
      <c r="C5" s="31">
        <v>24</v>
      </c>
      <c r="D5" s="31"/>
      <c r="E5" s="31">
        <v>24</v>
      </c>
      <c r="G5" s="16" t="s">
        <v>46</v>
      </c>
      <c r="H5" s="30">
        <v>3300096</v>
      </c>
    </row>
    <row r="6" spans="2:8" x14ac:dyDescent="0.25">
      <c r="B6" s="16" t="s">
        <v>48</v>
      </c>
      <c r="C6" s="31"/>
      <c r="D6" s="31">
        <v>5</v>
      </c>
      <c r="E6" s="31">
        <v>5</v>
      </c>
      <c r="G6" s="16" t="s">
        <v>39</v>
      </c>
      <c r="H6" s="30">
        <v>5758348</v>
      </c>
    </row>
    <row r="7" spans="2:8" x14ac:dyDescent="0.25">
      <c r="B7" s="16" t="s">
        <v>37</v>
      </c>
      <c r="C7" s="31"/>
      <c r="D7" s="31">
        <v>3</v>
      </c>
      <c r="E7" s="31">
        <v>3</v>
      </c>
      <c r="G7" s="16" t="s">
        <v>37</v>
      </c>
      <c r="H7" s="30">
        <v>1964690</v>
      </c>
    </row>
    <row r="8" spans="2:8" x14ac:dyDescent="0.25">
      <c r="B8" s="16" t="s">
        <v>46</v>
      </c>
      <c r="C8" s="31"/>
      <c r="D8" s="31">
        <v>5</v>
      </c>
      <c r="E8" s="31">
        <v>5</v>
      </c>
      <c r="G8" s="16" t="s">
        <v>54</v>
      </c>
      <c r="H8" s="30">
        <v>4940572</v>
      </c>
    </row>
    <row r="9" spans="2:8" x14ac:dyDescent="0.25">
      <c r="B9" s="16" t="s">
        <v>39</v>
      </c>
      <c r="C9" s="31"/>
      <c r="D9" s="31">
        <v>4</v>
      </c>
      <c r="E9" s="31">
        <v>4</v>
      </c>
      <c r="G9" s="16" t="s">
        <v>92</v>
      </c>
      <c r="H9" s="30">
        <v>19323790</v>
      </c>
    </row>
    <row r="10" spans="2:8" x14ac:dyDescent="0.25">
      <c r="B10" s="16" t="s">
        <v>41</v>
      </c>
      <c r="C10" s="31">
        <v>7</v>
      </c>
      <c r="D10" s="31"/>
      <c r="E10" s="31">
        <v>7</v>
      </c>
    </row>
    <row r="11" spans="2:8" x14ac:dyDescent="0.25">
      <c r="B11" s="16" t="s">
        <v>49</v>
      </c>
      <c r="C11" s="31">
        <v>8</v>
      </c>
      <c r="D11" s="31"/>
      <c r="E11" s="31">
        <v>8</v>
      </c>
    </row>
    <row r="12" spans="2:8" x14ac:dyDescent="0.25">
      <c r="B12" s="16" t="s">
        <v>38</v>
      </c>
      <c r="C12" s="31">
        <v>12</v>
      </c>
      <c r="D12" s="31"/>
      <c r="E12" s="31">
        <v>12</v>
      </c>
    </row>
    <row r="13" spans="2:8" x14ac:dyDescent="0.25">
      <c r="B13" s="16" t="s">
        <v>42</v>
      </c>
      <c r="C13" s="31">
        <v>19</v>
      </c>
      <c r="D13" s="31"/>
      <c r="E13" s="31">
        <v>19</v>
      </c>
    </row>
    <row r="14" spans="2:8" x14ac:dyDescent="0.25">
      <c r="B14" s="16" t="s">
        <v>44</v>
      </c>
      <c r="C14" s="31">
        <v>21</v>
      </c>
      <c r="D14" s="31"/>
      <c r="E14" s="31">
        <v>21</v>
      </c>
    </row>
    <row r="15" spans="2:8" x14ac:dyDescent="0.25">
      <c r="B15" s="16" t="s">
        <v>54</v>
      </c>
      <c r="C15" s="31"/>
      <c r="D15" s="31">
        <v>1</v>
      </c>
      <c r="E15" s="31">
        <v>1</v>
      </c>
    </row>
    <row r="16" spans="2:8" x14ac:dyDescent="0.25">
      <c r="B16" s="16" t="s">
        <v>47</v>
      </c>
      <c r="C16" s="31">
        <v>5</v>
      </c>
      <c r="D16" s="31"/>
      <c r="E16" s="31">
        <v>5</v>
      </c>
    </row>
    <row r="17" spans="2:5" x14ac:dyDescent="0.25">
      <c r="B17" s="16" t="s">
        <v>40</v>
      </c>
      <c r="C17" s="31">
        <v>22</v>
      </c>
      <c r="D17" s="31"/>
      <c r="E17" s="31">
        <v>22</v>
      </c>
    </row>
    <row r="18" spans="2:5" x14ac:dyDescent="0.25">
      <c r="B18" s="16" t="s">
        <v>92</v>
      </c>
      <c r="C18" s="31">
        <v>129</v>
      </c>
      <c r="D18" s="31">
        <v>18</v>
      </c>
      <c r="E18" s="31">
        <v>147</v>
      </c>
    </row>
    <row r="20" spans="2:5" x14ac:dyDescent="0.25">
      <c r="B20" s="17" t="s">
        <v>93</v>
      </c>
      <c r="C20" t="s">
        <v>94</v>
      </c>
    </row>
    <row r="21" spans="2:5" x14ac:dyDescent="0.25">
      <c r="B21" s="16" t="s">
        <v>52</v>
      </c>
      <c r="C21" s="23">
        <v>138957159</v>
      </c>
    </row>
    <row r="22" spans="2:5" x14ac:dyDescent="0.25">
      <c r="B22" s="16" t="s">
        <v>45</v>
      </c>
      <c r="C22" s="23">
        <v>135613800</v>
      </c>
    </row>
    <row r="23" spans="2:5" x14ac:dyDescent="0.25">
      <c r="B23" s="16" t="s">
        <v>48</v>
      </c>
      <c r="C23" s="23">
        <v>12600315</v>
      </c>
    </row>
    <row r="24" spans="2:5" x14ac:dyDescent="0.25">
      <c r="B24" s="16" t="s">
        <v>37</v>
      </c>
      <c r="C24" s="23">
        <v>8841105</v>
      </c>
    </row>
    <row r="25" spans="2:5" x14ac:dyDescent="0.25">
      <c r="B25" s="16" t="s">
        <v>46</v>
      </c>
      <c r="C25" s="23">
        <v>12375360</v>
      </c>
    </row>
    <row r="26" spans="2:5" x14ac:dyDescent="0.25">
      <c r="B26" s="16" t="s">
        <v>39</v>
      </c>
      <c r="C26" s="23">
        <v>17275044</v>
      </c>
    </row>
    <row r="27" spans="2:5" x14ac:dyDescent="0.25">
      <c r="B27" s="16" t="s">
        <v>41</v>
      </c>
      <c r="C27" s="23">
        <v>36122919</v>
      </c>
    </row>
    <row r="28" spans="2:5" x14ac:dyDescent="0.25">
      <c r="B28" s="16" t="s">
        <v>49</v>
      </c>
      <c r="C28" s="23">
        <v>50989104</v>
      </c>
    </row>
    <row r="29" spans="2:5" x14ac:dyDescent="0.25">
      <c r="B29" s="16" t="s">
        <v>38</v>
      </c>
      <c r="C29" s="23">
        <v>29631924</v>
      </c>
    </row>
    <row r="30" spans="2:5" x14ac:dyDescent="0.25">
      <c r="B30" s="16" t="s">
        <v>42</v>
      </c>
      <c r="C30" s="23">
        <v>116692566</v>
      </c>
    </row>
    <row r="31" spans="2:5" x14ac:dyDescent="0.25">
      <c r="B31" s="16" t="s">
        <v>44</v>
      </c>
      <c r="C31" s="23">
        <v>90017172</v>
      </c>
    </row>
    <row r="32" spans="2:5" x14ac:dyDescent="0.25">
      <c r="B32" s="16" t="s">
        <v>54</v>
      </c>
      <c r="C32" s="23">
        <v>3705429</v>
      </c>
    </row>
    <row r="33" spans="2:3" x14ac:dyDescent="0.25">
      <c r="B33" s="16" t="s">
        <v>47</v>
      </c>
      <c r="C33" s="23">
        <v>12488850</v>
      </c>
    </row>
    <row r="34" spans="2:3" x14ac:dyDescent="0.25">
      <c r="B34" s="16" t="s">
        <v>40</v>
      </c>
      <c r="C34" s="23">
        <v>60745806</v>
      </c>
    </row>
    <row r="35" spans="2:3" x14ac:dyDescent="0.25">
      <c r="B35" s="16" t="s">
        <v>92</v>
      </c>
      <c r="C35" s="23">
        <v>726056553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AB7B8-054C-41CE-A46F-482972AF32CD}">
  <sheetPr codeName="Sheet5"/>
  <dimension ref="G23"/>
  <sheetViews>
    <sheetView topLeftCell="A2" zoomScale="70" zoomScaleNormal="70" workbookViewId="0">
      <selection activeCell="Q13" sqref="Q13"/>
    </sheetView>
  </sheetViews>
  <sheetFormatPr defaultRowHeight="15.75" x14ac:dyDescent="0.25"/>
  <sheetData>
    <row r="23" spans="7:7" x14ac:dyDescent="0.25">
      <c r="G23" s="1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0215932E-4157-48B1-AD6A-18FA9BB527BF}">
  <ds:schemaRefs/>
</ds:datastoreItem>
</file>

<file path=customXml/itemProps2.xml><?xml version="1.0" encoding="utf-8"?>
<ds:datastoreItem xmlns:ds="http://schemas.openxmlformats.org/officeDocument/2006/customXml" ds:itemID="{2EECE530-9D2F-4874-BCBA-2B6F7E62068F}">
  <ds:schemaRefs/>
</ds:datastoreItem>
</file>

<file path=customXml/itemProps3.xml><?xml version="1.0" encoding="utf-8"?>
<ds:datastoreItem xmlns:ds="http://schemas.openxmlformats.org/officeDocument/2006/customXml" ds:itemID="{6A03B15C-45CF-4071-AB39-0B5C7945875E}">
  <ds:schemaRefs/>
</ds:datastoreItem>
</file>

<file path=customXml/itemProps4.xml><?xml version="1.0" encoding="utf-8"?>
<ds:datastoreItem xmlns:ds="http://schemas.openxmlformats.org/officeDocument/2006/customXml" ds:itemID="{5A75BA01-B511-48AE-BF35-18A6C2D4B922}">
  <ds:schemaRefs/>
</ds:datastoreItem>
</file>

<file path=customXml/itemProps5.xml><?xml version="1.0" encoding="utf-8"?>
<ds:datastoreItem xmlns:ds="http://schemas.openxmlformats.org/officeDocument/2006/customXml" ds:itemID="{3B34624A-CE99-4B7D-9ACE-752F8662EB19}">
  <ds:schemaRefs/>
</ds:datastoreItem>
</file>

<file path=customXml/itemProps6.xml><?xml version="1.0" encoding="utf-8"?>
<ds:datastoreItem xmlns:ds="http://schemas.openxmlformats.org/officeDocument/2006/customXml" ds:itemID="{5A767492-B0F7-4236-8D2D-0EFEB4BFF04A}">
  <ds:schemaRefs/>
</ds:datastoreItem>
</file>

<file path=customXml/itemProps7.xml><?xml version="1.0" encoding="utf-8"?>
<ds:datastoreItem xmlns:ds="http://schemas.openxmlformats.org/officeDocument/2006/customXml" ds:itemID="{7BF51405-8791-450E-B434-7D01DC19C033}">
  <ds:schemaRefs/>
</ds:datastoreItem>
</file>

<file path=customXml/itemProps8.xml><?xml version="1.0" encoding="utf-8"?>
<ds:datastoreItem xmlns:ds="http://schemas.openxmlformats.org/officeDocument/2006/customXml" ds:itemID="{30D004DD-85EC-49D1-AAE0-864A871333BC}">
  <ds:schemaRefs/>
</ds:datastoreItem>
</file>

<file path=customXml/itemProps9.xml><?xml version="1.0" encoding="utf-8"?>
<ds:datastoreItem xmlns:ds="http://schemas.openxmlformats.org/officeDocument/2006/customXml" ds:itemID="{D4D2043C-09DA-4968-B6AF-AEEE30C2FD37}">
  <ds:schemaRefs/>
</ds:datastoreItem>
</file>

<file path=customXml/itemProps10.xml><?xml version="1.0" encoding="utf-8"?>
<ds:datastoreItem xmlns:ds="http://schemas.openxmlformats.org/officeDocument/2006/customXml" ds:itemID="{133CBE20-4C30-438B-98B8-067544BCF306}">
  <ds:schemaRefs/>
</ds:datastoreItem>
</file>

<file path=customXml/itemProps11.xml><?xml version="1.0" encoding="utf-8"?>
<ds:datastoreItem xmlns:ds="http://schemas.openxmlformats.org/officeDocument/2006/customXml" ds:itemID="{B43979FF-ACBD-4DD3-BA51-284CACD3278D}">
  <ds:schemaRefs/>
</ds:datastoreItem>
</file>

<file path=customXml/itemProps12.xml><?xml version="1.0" encoding="utf-8"?>
<ds:datastoreItem xmlns:ds="http://schemas.openxmlformats.org/officeDocument/2006/customXml" ds:itemID="{C90B1F98-C6BF-45FF-964F-EA0414AFC1BA}">
  <ds:schemaRefs/>
</ds:datastoreItem>
</file>

<file path=customXml/itemProps13.xml><?xml version="1.0" encoding="utf-8"?>
<ds:datastoreItem xmlns:ds="http://schemas.openxmlformats.org/officeDocument/2006/customXml" ds:itemID="{2B2A9C36-6CF2-4EB1-9B04-B9208020AD5B}">
  <ds:schemaRefs>
    <ds:schemaRef ds:uri="http://schemas.microsoft.com/DataMashup"/>
  </ds:schemaRefs>
</ds:datastoreItem>
</file>

<file path=customXml/itemProps14.xml><?xml version="1.0" encoding="utf-8"?>
<ds:datastoreItem xmlns:ds="http://schemas.openxmlformats.org/officeDocument/2006/customXml" ds:itemID="{3DE09724-7DAD-4B16-85C7-C3E5FBBB4C43}">
  <ds:schemaRefs/>
</ds:datastoreItem>
</file>

<file path=customXml/itemProps15.xml><?xml version="1.0" encoding="utf-8"?>
<ds:datastoreItem xmlns:ds="http://schemas.openxmlformats.org/officeDocument/2006/customXml" ds:itemID="{9EAA9EB1-0BF0-4782-BAB2-106AD6529423}">
  <ds:schemaRefs/>
</ds:datastoreItem>
</file>

<file path=customXml/itemProps16.xml><?xml version="1.0" encoding="utf-8"?>
<ds:datastoreItem xmlns:ds="http://schemas.openxmlformats.org/officeDocument/2006/customXml" ds:itemID="{60F97C7F-B45F-451D-89F4-9D67AF4D2998}">
  <ds:schemaRefs/>
</ds:datastoreItem>
</file>

<file path=customXml/itemProps17.xml><?xml version="1.0" encoding="utf-8"?>
<ds:datastoreItem xmlns:ds="http://schemas.openxmlformats.org/officeDocument/2006/customXml" ds:itemID="{DEF301C6-9EE3-4AC4-BA30-BC4E24812F3C}">
  <ds:schemaRefs/>
</ds:datastoreItem>
</file>

<file path=customXml/itemProps18.xml><?xml version="1.0" encoding="utf-8"?>
<ds:datastoreItem xmlns:ds="http://schemas.openxmlformats.org/officeDocument/2006/customXml" ds:itemID="{2A2B634E-6C2E-4D90-BDA8-1411A625954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Inventory</vt:lpstr>
      <vt:lpstr>Vendor Info</vt:lpstr>
      <vt:lpstr>Order Summary</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farre</dc:creator>
  <cp:lastModifiedBy>Muhammad Hamzah</cp:lastModifiedBy>
  <dcterms:created xsi:type="dcterms:W3CDTF">2024-08-31T08:46:09Z</dcterms:created>
  <dcterms:modified xsi:type="dcterms:W3CDTF">2025-04-26T12:59:49Z</dcterms:modified>
</cp:coreProperties>
</file>